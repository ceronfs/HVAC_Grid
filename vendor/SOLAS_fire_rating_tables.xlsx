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K\Desktop\SOLAS\"/>
    </mc:Choice>
  </mc:AlternateContent>
  <xr:revisionPtr revIDLastSave="0" documentId="13_ncr:1_{67B6CC98-EF65-40DC-BD0B-CBD4EBEE789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0_안내" sheetId="1" r:id="rId1"/>
    <sheet name="01_격실분류" sheetId="2" r:id="rId2"/>
    <sheet name="02_범주정의" sheetId="3" r:id="rId3"/>
    <sheet name="03_조회" sheetId="4" r:id="rId4"/>
    <sheet name="T9.1" sheetId="5" r:id="rId5"/>
    <sheet name="T9.2" sheetId="6" r:id="rId6"/>
    <sheet name="T9.3" sheetId="7" r:id="rId7"/>
    <sheet name="T9.4" sheetId="8" r:id="rId8"/>
    <sheet name="T9.5" sheetId="9" r:id="rId9"/>
    <sheet name="T9.6" sheetId="10" r:id="rId10"/>
    <sheet name="T9.7" sheetId="11" r:id="rId11"/>
    <sheet name="T9.8" sheetId="12" r:id="rId12"/>
    <sheet name="04_주석" sheetId="13" r:id="rId13"/>
    <sheet name="05_참조" sheetId="14" r:id="rId14"/>
  </sheets>
  <definedNames>
    <definedName name="_xlnm._FilterDatabase" localSheetId="1" hidden="1">'01_격실분류'!$A$3:$G$85</definedName>
    <definedName name="_xlnm.Print_Titles" localSheetId="1">'01_격실분류'!$3:$3</definedName>
    <definedName name="_xlnm.Print_Titles" localSheetId="2">'02_범주정의'!$3:$3</definedName>
    <definedName name="_xlnm.Print_Titles" localSheetId="12">'04_주석'!$1:$2</definedName>
    <definedName name="_xlnm.Print_Titles" localSheetId="4">'T9.1'!$4:$4,'T9.1'!$A:$B</definedName>
    <definedName name="_xlnm.Print_Titles" localSheetId="5">'T9.2'!$4:$4,'T9.2'!$A:$B</definedName>
    <definedName name="_xlnm.Print_Titles" localSheetId="6">'T9.3'!$4:$4,'T9.3'!$A:$B</definedName>
    <definedName name="_xlnm.Print_Titles" localSheetId="7">'T9.4'!$4:$4,'T9.4'!$A:$B</definedName>
    <definedName name="_xlnm.Print_Titles" localSheetId="8">'T9.5'!$4:$4,'T9.5'!$A:$B</definedName>
    <definedName name="_xlnm.Print_Titles" localSheetId="9">'T9.6'!$4:$4,'T9.6'!$A:$B</definedName>
    <definedName name="_xlnm.Print_Titles" localSheetId="10">'T9.7'!$4:$4,'T9.7'!$A:$B</definedName>
    <definedName name="_xlnm.Print_Titles" localSheetId="11">'T9.8'!$4:$4,'T9.8'!$A:$B</definedName>
    <definedName name="격실목록">OFFSET('01_격실분류'!$A$4,0,0,COUNTA('01_격실분류'!$A$4:$A$300),1)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4" l="1"/>
  <c r="C11" i="4" s="1"/>
  <c r="G5" i="4"/>
  <c r="C13" i="4" s="1"/>
  <c r="G4" i="4"/>
  <c r="B12" i="4" s="1"/>
  <c r="C12" i="4" s="1"/>
  <c r="G6" i="4" l="1"/>
  <c r="B13" i="4" s="1"/>
  <c r="G7" i="4"/>
  <c r="B15" i="4" l="1"/>
  <c r="G8" i="4" s="1"/>
  <c r="B16" i="4" s="1"/>
</calcChain>
</file>

<file path=xl/sharedStrings.xml><?xml version="1.0" encoding="utf-8"?>
<sst xmlns="http://schemas.openxmlformats.org/spreadsheetml/2006/main" count="1653" uniqueCount="438">
  <si>
    <t>SOLAS II-2 격실 분류 · 화재구획 등급표</t>
  </si>
  <si>
    <t>국제해상인명안전협약 제II-2장 제9규칙 — Table 9.1 ~ 9.8</t>
  </si>
  <si>
    <t>시트 구성</t>
  </si>
  <si>
    <t>01_격실분류</t>
  </si>
  <si>
    <t>격실명 82종을 선종별 공간 범주 번호로 대응시킨 분류표. 한 격실이 선종에 따라 다른 범주가 되는 점에 유의.</t>
  </si>
  <si>
    <t>02_범주정의</t>
  </si>
  <si>
    <t>선종별 공간 범주 (1)~(14) 정의와 대표 예.</t>
  </si>
  <si>
    <t>03_조회</t>
  </si>
  <si>
    <t>격실 두 개를 고르면 최소 내화등급을 산출. 노란 칸만 입력하고 나머지는 수식.</t>
  </si>
  <si>
    <t>T9.1 ~ T9.8</t>
  </si>
  <si>
    <t>화재구획 등급표 8종 원문. 홀수 표는 격벽, 짝수 표는 갑판.</t>
  </si>
  <si>
    <t>04_주석</t>
  </si>
  <si>
    <t>각 표의 주석 a~i 및 별표(*) 전문.</t>
  </si>
  <si>
    <t>05_참조</t>
  </si>
  <si>
    <t>수식이 참조하는 데이터. 수정하지 마십시오.</t>
  </si>
  <si>
    <t>어느 표를 쓰는가</t>
  </si>
  <si>
    <t>여객선 · 36명 초과</t>
  </si>
  <si>
    <t>격벽 T9.1 / 갑판 T9.2 — 범주 14개</t>
  </si>
  <si>
    <t>여객선 · 36명 이하</t>
  </si>
  <si>
    <t>격벽 T9.3 / 갑판 T9.4 — 범주 11개</t>
  </si>
  <si>
    <t>화물선 (탱커 제외)</t>
  </si>
  <si>
    <t>격벽 T9.5 / 갑판 T9.6 — 범주 11개</t>
  </si>
  <si>
    <t>탱커</t>
  </si>
  <si>
    <t>격벽 T9.7 / 갑판 T9.8 — 범주 10개</t>
  </si>
  <si>
    <t>표 읽는 법</t>
  </si>
  <si>
    <t>격벽 표는 대칭</t>
  </si>
  <si>
    <t>상삼각만 인쇄되며 행·열 순서를 바꿔 읽어도 같은 값입니다.</t>
  </si>
  <si>
    <t>갑판 표는 비대칭</t>
  </si>
  <si>
    <t>행이 아래 구역(space below), 열이 위 구역(space above). 순서가 바뀌면 값이 달라집니다.</t>
  </si>
  <si>
    <t>두 값 병기</t>
  </si>
  <si>
    <t>'A-15 / A-0 (d)' 형식. T9.3·T9.4는 스프링클러 유무로, T9.5·T9.7은 격벽의 갑판 연장 여부로 갈립니다. 04_주석 참조.</t>
  </si>
  <si>
    <t>괄호 안 문자</t>
  </si>
  <si>
    <t>적용되는 주석 기호. 04_주석에서 전문을 확인하십시오.</t>
  </si>
  <si>
    <t>* (별표)</t>
  </si>
  <si>
    <t>강 또는 동등재이되 A급은 불요. 다만 갑판 관통부는 화염·연기 통과를 막도록 밀폐.</t>
  </si>
  <si>
    <t>– (대시)</t>
  </si>
  <si>
    <t>재료·완전성에 대한 특별요건 없음.</t>
  </si>
  <si>
    <t>빈 칸</t>
  </si>
  <si>
    <t>격벽 표의 하삼각 — 대칭이므로 인쇄되지 않습니다.</t>
  </si>
  <si>
    <t>반드시 함께 확인할 것</t>
  </si>
  <si>
    <t>표 밖 조항이 우선하는 경우</t>
  </si>
  <si>
    <t>주수직구역 경계 A-60 (II-2/9.2.2.1.1.1), 특수분류·ro-ro 구역 A-60 (II-2/20.5.1.1), 탱커 거주구역 외벽 A-60 3m (II-2/9.2.4.2.5), 사우나 외곽 A-60 (II-2/9.2.2.3.4), 위험물 화물구역↔A류 기관구역 A-60 (II-2/19.3.8), 소화제 저장실은 화재제어소로 취급 (II-2/10.4.3).</t>
  </si>
  <si>
    <t>관통부·개구</t>
  </si>
  <si>
    <t>II-2/9.3 (관통·450mm 열전달), 9.4 (문·창), 9.7 (덕트·방화댐퍼)를 별도로 적용.</t>
  </si>
  <si>
    <t>출처</t>
  </si>
  <si>
    <t>SOLAS Consolidated Edition 2012, Chapter II-2 Regulation 9, Table 9.1~9.8 및 각 표 주석. 원본 PDF 페이지 156·158·161·162·166·167·171·172을 220 dpi로 렌더링해 육안 대조 완료 (2026-08-24).</t>
  </si>
  <si>
    <t>데이터 일치</t>
  </si>
  <si>
    <t>이 워크북의 표·격실 사전은 tools/fire_rating.html(웹 조회 도구)에서 직접 추출하여 생성했습니다. 두 산출물의 값은 항상 동일합니다.</t>
  </si>
  <si>
    <t>글꼴</t>
  </si>
  <si>
    <t>본문에 Malgun Gothic을 사용했습니다 — 한글 자형을 포함하는 표준 시스템 글꼴이기 때문입니다.</t>
  </si>
  <si>
    <t>한계</t>
  </si>
  <si>
    <t>이 워크북은 표 조회를 돕는 보조 자료입니다. 최종 판단은 IMO 정본 최신판과 주관청·선급 승인에 따릅니다.</t>
  </si>
  <si>
    <t>격실 분류</t>
  </si>
  <si>
    <t>격실명을 선종별 공간 범주 번호로 대응. — 표시는 해당 표에 대응 범주가 없다는 뜻입니다.</t>
  </si>
  <si>
    <t>격실명 (국문)</t>
  </si>
  <si>
    <t>격실명 (영문)</t>
  </si>
  <si>
    <t>여객선
36명 초과</t>
  </si>
  <si>
    <t>여객선
36명 이하</t>
  </si>
  <si>
    <t>화물선
(탱커 제외)</t>
  </si>
  <si>
    <t>비고</t>
  </si>
  <si>
    <t>조타실</t>
  </si>
  <si>
    <t>Wheelhouse</t>
  </si>
  <si>
    <t>해도실</t>
  </si>
  <si>
    <t>Chartroom</t>
  </si>
  <si>
    <t>무선실</t>
  </si>
  <si>
    <t>Radio room</t>
  </si>
  <si>
    <t>비상발전기실</t>
  </si>
  <si>
    <t>Emergency generator room</t>
  </si>
  <si>
    <t>화재제어소</t>
  </si>
  <si>
    <t>Fire control station</t>
  </si>
  <si>
    <t>추진제어실 (기관구역 외)</t>
  </si>
  <si>
    <t>Propulsion control room</t>
  </si>
  <si>
    <t>화재경보 집중실</t>
  </si>
  <si>
    <t>Centralized fire alarm room</t>
  </si>
  <si>
    <t>안전센터</t>
  </si>
  <si>
    <t>Safety centre</t>
  </si>
  <si>
    <t>—</t>
  </si>
  <si>
    <t>II-2/23은 2010.7.1 이후 건조 여객선에만 적용.</t>
  </si>
  <si>
    <t>소화제 저장실 (CO₂실)</t>
  </si>
  <si>
    <t>Fire-extinguishing medium store</t>
  </si>
  <si>
    <t>II-2/10.4.3 — 표 적용상 화재제어소로 취급. 다만 II-2/3.18의 제어장소 정의에는 해당하지 않음.</t>
  </si>
  <si>
    <t>계단격실</t>
  </si>
  <si>
    <t>Stairway enclosure</t>
  </si>
  <si>
    <t>승강기 트렁크</t>
  </si>
  <si>
    <t>Lift trunk</t>
  </si>
  <si>
    <t>에스컬레이터</t>
  </si>
  <si>
    <t>Escalator</t>
  </si>
  <si>
    <t>비상탈출트렁크</t>
  </si>
  <si>
    <t>Emergency escape trunk</t>
  </si>
  <si>
    <t>통로</t>
  </si>
  <si>
    <t>Corridor</t>
  </si>
  <si>
    <t>로비</t>
  </si>
  <si>
    <t>Lobby</t>
  </si>
  <si>
    <t>집합장소</t>
  </si>
  <si>
    <t>Assembly station</t>
  </si>
  <si>
    <t>범주 (4)는 여객 36명 초과선 표 전용. 그 밖의 선종은 통상 (10) 개방갑판으로 처리하되 II-2/13.3.2.4.1 확인.</t>
  </si>
  <si>
    <t>승정장소</t>
  </si>
  <si>
    <t>Embarkation station</t>
  </si>
  <si>
    <t>범주 (4)는 여객 36명 초과선 표 전용. 그 밖의 선종은 통상 (10) 개방갑판으로 처리.</t>
  </si>
  <si>
    <t>생존정 격납구역</t>
  </si>
  <si>
    <t>Survival craft stowage area</t>
  </si>
  <si>
    <t>범주 (4)는 여객 36명 초과선 표 전용.</t>
  </si>
  <si>
    <t>외부계단 (피난용)</t>
  </si>
  <si>
    <t>External escape stairs</t>
  </si>
  <si>
    <t>개방갑판</t>
  </si>
  <si>
    <t>Open deck</t>
  </si>
  <si>
    <t>밀폐 산책로</t>
  </si>
  <si>
    <t>Enclosed promenade</t>
  </si>
  <si>
    <t>선실 — 제한 가구</t>
  </si>
  <si>
    <t>Cabin, restricted fire risk</t>
  </si>
  <si>
    <t>선실 — 비제한 가구</t>
  </si>
  <si>
    <t>Cabin, other than restricted</t>
  </si>
  <si>
    <t>사무실</t>
  </si>
  <si>
    <t>Office</t>
  </si>
  <si>
    <t>조제실</t>
  </si>
  <si>
    <t>Dispensary</t>
  </si>
  <si>
    <t>병원</t>
  </si>
  <si>
    <t>Hospital</t>
  </si>
  <si>
    <t>공공장소 — 50㎡ 미만</t>
  </si>
  <si>
    <t>Public space &lt;50 m²</t>
  </si>
  <si>
    <t>공공장소 — 50㎡ 이상 · 제한 가구</t>
  </si>
  <si>
    <t>Public space ≥50 m², restricted</t>
  </si>
  <si>
    <t>공공장소 — 50㎡ 이상 · 비제한</t>
  </si>
  <si>
    <t>Public space ≥50 m², other</t>
  </si>
  <si>
    <t>식당</t>
  </si>
  <si>
    <t>Dining room</t>
  </si>
  <si>
    <t>오락실</t>
  </si>
  <si>
    <t>Recreation room</t>
  </si>
  <si>
    <t>수술실</t>
  </si>
  <si>
    <t>Operating room</t>
  </si>
  <si>
    <t>약국</t>
  </si>
  <si>
    <t>Pharmacy</t>
  </si>
  <si>
    <t>실험실 — 가연성 액체 없음</t>
  </si>
  <si>
    <t>Laboratory, no flammable liquids</t>
  </si>
  <si>
    <t>실험실 — 가연성 액체 보관</t>
  </si>
  <si>
    <t>Laboratory, flammable liquids stowed</t>
  </si>
  <si>
    <t>영사실·필름실</t>
  </si>
  <si>
    <t>Projection / film stowage room</t>
  </si>
  <si>
    <t>다이어트 키친 (무화염)</t>
  </si>
  <si>
    <t>Diet kitchen, no open flame</t>
  </si>
  <si>
    <t>귀중품실</t>
  </si>
  <si>
    <t>Specie room</t>
  </si>
  <si>
    <t>청소구 로커</t>
  </si>
  <si>
    <t>Cleaning gear locker</t>
  </si>
  <si>
    <t>로커·소창고 — 4㎡ 미만</t>
  </si>
  <si>
    <t>Locker / store &lt;4 m²</t>
  </si>
  <si>
    <t>소건조실 — 4㎡ 이하</t>
  </si>
  <si>
    <t>Small drying room ≤4 m²</t>
  </si>
  <si>
    <t>이발소·미용실</t>
  </si>
  <si>
    <t>Barber shop / beauty parlour</t>
  </si>
  <si>
    <t>사우나</t>
  </si>
  <si>
    <t>Sauna</t>
  </si>
  <si>
    <t>II-2/9.2.2.3.4 — 외곽은 A급이며 (5)(9)(10) 외의 구역에 대해 A-60 단열.</t>
  </si>
  <si>
    <t>판매점</t>
  </si>
  <si>
    <t>Sale shop</t>
  </si>
  <si>
    <t>화장실·샤워실·욕실</t>
  </si>
  <si>
    <t>Sanitary spaces</t>
  </si>
  <si>
    <t>소세탁실</t>
  </si>
  <si>
    <t>Small laundry</t>
  </si>
  <si>
    <t>실내수영장</t>
  </si>
  <si>
    <t>Indoor swimming pool</t>
  </si>
  <si>
    <t>팬트리 — 조리기구 없음</t>
  </si>
  <si>
    <t>Pantry, no cooking appliances</t>
  </si>
  <si>
    <t>팬트리 — 조리기구 있음 (조리실 부속)</t>
  </si>
  <si>
    <t>Pantry with cooking appliances, annexed</t>
  </si>
  <si>
    <t>주팬트리 — 조리실 부속 아님</t>
  </si>
  <si>
    <t>Main pantry, not annexed</t>
  </si>
  <si>
    <t>조리실</t>
  </si>
  <si>
    <t>Galley</t>
  </si>
  <si>
    <t>기관실 — A류</t>
  </si>
  <si>
    <t>Machinery space of category A</t>
  </si>
  <si>
    <t>보일러실</t>
  </si>
  <si>
    <t>Boiler room</t>
  </si>
  <si>
    <t>환기·공조 기계실</t>
  </si>
  <si>
    <t>Ventilation / AC machinery room</t>
  </si>
  <si>
    <t>양묘기실</t>
  </si>
  <si>
    <t>Windlass room</t>
  </si>
  <si>
    <t>조타기실</t>
  </si>
  <si>
    <t>Steering gear room</t>
  </si>
  <si>
    <t>전기추진 전동기실</t>
  </si>
  <si>
    <t>Electric propulsion motor room</t>
  </si>
  <si>
    <t>축로·파이프터널</t>
  </si>
  <si>
    <t>Shaft alley / pipe tunnel</t>
  </si>
  <si>
    <t>전기설비실</t>
  </si>
  <si>
    <t>Electrical equipment room</t>
  </si>
  <si>
    <t>유입변압기실 — 10 kVA 초과</t>
  </si>
  <si>
    <t>Oil-filled transformer room &gt;10 kVA</t>
  </si>
  <si>
    <t>보조발전기실 — 110 kW 이하</t>
  </si>
  <si>
    <t>Small auxiliary generator room</t>
  </si>
  <si>
    <t>스프링클러·소화펌프실</t>
  </si>
  <si>
    <t>Sprinkler / fire pump room</t>
  </si>
  <si>
    <t>청수탱크</t>
  </si>
  <si>
    <t>Fresh water tank</t>
  </si>
  <si>
    <t>범주 (10)은 여객 36명 초과선 표 전용. 그 밖의 선종은 (7) 또는 (8) 중 어느 쪽으로 볼지 주관청·선급 확인.</t>
  </si>
  <si>
    <t>보이드·코퍼댐</t>
  </si>
  <si>
    <t>Void / cofferdam</t>
  </si>
  <si>
    <t>범주 (10)은 여객 36명 초과선 표 전용. 주관청·선급 확인 필요.</t>
  </si>
  <si>
    <t>화물창</t>
  </si>
  <si>
    <t>Cargo hold</t>
  </si>
  <si>
    <t>탱커 표에는 화물구역 범주 없음 — 화물탱크 보호는 II-2/9.6.5 및 10.8이 규율.</t>
  </si>
  <si>
    <t>화물유탱크</t>
  </si>
  <si>
    <t>Cargo oil tank</t>
  </si>
  <si>
    <t>냉장실</t>
  </si>
  <si>
    <t>Refrigerated chamber</t>
  </si>
  <si>
    <t>탱커 표에는 화물구역 범주 없음.</t>
  </si>
  <si>
    <t>연료유탱크 (별도구역)</t>
  </si>
  <si>
    <t>Oil fuel tank, separate space</t>
  </si>
  <si>
    <t>범주 (11)은 여객 36명 초과선 표 전용. 주관청·선급 확인 필요.</t>
  </si>
  <si>
    <t>화물펌프실</t>
  </si>
  <si>
    <t>Cargo pump-room</t>
  </si>
  <si>
    <t>범주 (8) 화물펌프실은 탱커 표(9.7/9.8) 전용.</t>
  </si>
  <si>
    <t>주세탁실</t>
  </si>
  <si>
    <t>Main laundry</t>
  </si>
  <si>
    <t>대건조실 — 4㎡ 초과</t>
  </si>
  <si>
    <t>Large drying room &gt;4 m²</t>
  </si>
  <si>
    <t>잡물창고</t>
  </si>
  <si>
    <t>Miscellaneous store</t>
  </si>
  <si>
    <t>우편실·수하물실</t>
  </si>
  <si>
    <t>Mail / baggage room</t>
  </si>
  <si>
    <t>쓰레기실</t>
  </si>
  <si>
    <t>Garbage room</t>
  </si>
  <si>
    <t>작업장 (기관구역 외)</t>
  </si>
  <si>
    <t>Workshop, outside machinery space</t>
  </si>
  <si>
    <t>로커·창고 — 4㎡ 초과</t>
  </si>
  <si>
    <t>Locker / store &gt;4 m²</t>
  </si>
  <si>
    <t>페인트 로커</t>
  </si>
  <si>
    <t>Paint locker</t>
  </si>
  <si>
    <t>가연성 액체 창고</t>
  </si>
  <si>
    <t>Flammable liquid store</t>
  </si>
  <si>
    <t>램프실</t>
  </si>
  <si>
    <t>Lamp room</t>
  </si>
  <si>
    <t>특수분류구역</t>
  </si>
  <si>
    <t>Special category space</t>
  </si>
  <si>
    <t>여객 36명 초과선: II-2/20.5.1.1이 직접 규율 (A-60). 화물선: (11) Ro-ro 및 차량구역으로 조회.</t>
  </si>
  <si>
    <t>Ro-ro 구역</t>
  </si>
  <si>
    <t>Ro-ro space</t>
  </si>
  <si>
    <t>여객 36명 초과선: Table 9.1/9.2에 범주 없음 — II-2/20.5.1.1 적용 (A-60).</t>
  </si>
  <si>
    <t>차량구역</t>
  </si>
  <si>
    <t>Vehicle space</t>
  </si>
  <si>
    <t>공간 범주 정의</t>
  </si>
  <si>
    <t>선종별로 범주 번호와 이름이 다릅니다. 조회 전 반드시 선종을 먼저 확정하십시오.</t>
  </si>
  <si>
    <t>번호</t>
  </si>
  <si>
    <t>(1)</t>
  </si>
  <si>
    <t>제어장소</t>
  </si>
  <si>
    <t>(2)</t>
  </si>
  <si>
    <t>계단</t>
  </si>
  <si>
    <t>(3)</t>
  </si>
  <si>
    <t>거주구역</t>
  </si>
  <si>
    <t>(4)</t>
  </si>
  <si>
    <t>퇴선장소·외부 피난로</t>
  </si>
  <si>
    <t>(5)</t>
  </si>
  <si>
    <t>업무구역 (저위험)</t>
  </si>
  <si>
    <t>(6)</t>
  </si>
  <si>
    <t>거주구역 (화재위험 소)</t>
  </si>
  <si>
    <t>A류 기관구역</t>
  </si>
  <si>
    <t>(7)</t>
  </si>
  <si>
    <t>거주구역 (화재위험 중)</t>
  </si>
  <si>
    <t>기타 기관구역</t>
  </si>
  <si>
    <t>(8)</t>
  </si>
  <si>
    <t>거주구역 (화재위험 대)</t>
  </si>
  <si>
    <t>화물구역</t>
  </si>
  <si>
    <t>(9)</t>
  </si>
  <si>
    <t>위생 및 유사구역</t>
  </si>
  <si>
    <t>업무구역 (고위험)</t>
  </si>
  <si>
    <t>(10)</t>
  </si>
  <si>
    <t>탱크·보이드·저위험 보조기관구역</t>
  </si>
  <si>
    <t>(11)</t>
  </si>
  <si>
    <t>보조기관·화물구역·유류탱크 (중위험)</t>
  </si>
  <si>
    <t>특수분류구역 및 ro-ro 구역</t>
  </si>
  <si>
    <t>Ro-ro 및 차량구역</t>
  </si>
  <si>
    <t>(12)</t>
  </si>
  <si>
    <t>기관구역 및 주조리실</t>
  </si>
  <si>
    <t>(13)</t>
  </si>
  <si>
    <t>창고·작업장·팬트리 등</t>
  </si>
  <si>
    <t>(14)</t>
  </si>
  <si>
    <t>가연성 액체 저장구역</t>
  </si>
  <si>
    <t>분류가 애매하면 가장 엄격한 경계요건을 갖는 범주로 처리합니다. 어떤 구역 내부의 소구획이 개구 연통 30% 미만이면 별개 구역으로 보고 표를 다시 적용합니다. 범주 제목은 예시적(typical)이며 한정적(restrictive)이 아닙니다. — II-2/9.2.2.3.2</t>
  </si>
  <si>
    <t>화재구획 등급 조회</t>
  </si>
  <si>
    <t>노란 칸 네 곳만 선택하면 나머지는 수식이 계산합니다.</t>
  </si>
  <si>
    <t>입력</t>
  </si>
  <si>
    <t>계산 보조 — 수정하지 마십시오</t>
  </si>
  <si>
    <t>선종</t>
  </si>
  <si>
    <t>적용 표가 결정됩니다.</t>
  </si>
  <si>
    <t>선종 인덱스</t>
  </si>
  <si>
    <t>위치 관계</t>
  </si>
  <si>
    <t>좌우 인접 — 격벽</t>
  </si>
  <si>
    <t>격벽은 대칭, 갑판은 아래·위 순서가 중요합니다.</t>
  </si>
  <si>
    <t>위치 인덱스</t>
  </si>
  <si>
    <t>격실 A  /  아래 구역</t>
  </si>
  <si>
    <t>01_격실분류의 격실명 중에서 선택.</t>
  </si>
  <si>
    <t>적용 시트명</t>
  </si>
  <si>
    <t>격실 B  /  위 구역</t>
  </si>
  <si>
    <t>원시 셀값</t>
  </si>
  <si>
    <t>두 값 병기 시 적용</t>
  </si>
  <si>
    <t>첫 번째 값</t>
  </si>
  <si>
    <t>병기 셀이 아니면 무시됩니다. 선택 규칙은 04_주석 참조.</t>
  </si>
  <si>
    <t>등급 토큰</t>
  </si>
  <si>
    <t>판정</t>
  </si>
  <si>
    <t>범주 A</t>
  </si>
  <si>
    <t>범주 B</t>
  </si>
  <si>
    <t>적용 표</t>
  </si>
  <si>
    <t>최소 내화등급</t>
  </si>
  <si>
    <t>등급 의미</t>
  </si>
  <si>
    <t>사용 방법</t>
  </si>
  <si>
    <t>1.  선종을 먼저 고릅니다 — 같은 격실이라도 선종에 따라 범주 번호가 달라집니다.</t>
  </si>
  <si>
    <t>2.  위치 관계를 고릅니다. 두 격실이 좌우로 붙어 있으면 격벽, 위아래로 붙어 있으면 갑판입니다.</t>
  </si>
  <si>
    <t>3.  갑판을 골랐다면 B6에 아래 구역, B7에 위 구역을 넣습니다 — 갑판 표는 비대칭이라 순서가 결과를 바꿉니다.</t>
  </si>
  <si>
    <t>4.  결과 셀에 'A-15 / A-0 (d)'처럼 두 값이 나오면 B8에서 어느 쪽을 적용할지 고릅니다.</t>
  </si>
  <si>
    <t xml:space="preserve">     T9.3·T9.4 → 두 구역 모두 스프링클러 설치 시 두 번째 값, 그 밖에는 첫 번째 값 (주석 d).</t>
  </si>
  <si>
    <t xml:space="preserve">     T9.5·T9.7 → 격벽이 갑판까지 연장되는지에 따라 갈립니다 (주석 c 또는 a). 도면 확인 필요.</t>
  </si>
  <si>
    <t>표 값이 전부가 아닙니다</t>
  </si>
  <si>
    <t>다음은 표와 별개로 직접 요건을 부과하므로 반드시 함께 확인하십시오 — 더 엄격한 쪽을 채택합니다.</t>
  </si>
  <si>
    <t>·  주수직구역 경계 (여객 36명 초과) → A-60.  II-2/9.2.2.1.1.1</t>
  </si>
  <si>
    <t>·  특수분류·ro-ro 구역 경계 (여객 36명 초과) → A-60.  II-2/20.5.1.1</t>
  </si>
  <si>
    <t>·  탱커 거주구역 외벽 — 화물구역 대면 전체 + 바깥쪽 3m → A-60.  II-2/9.2.4.2.5</t>
  </si>
  <si>
    <t>·  사우나 외곽 → A-60 (외곽 내부 및 범주 (5)(9)(10) 제외).  II-2/9.2.2.3.4</t>
  </si>
  <si>
    <t>·  위험물 화물구역 ↔ A류 기관구역 → A-60 (수평 3m 이상 이격 시 예외).  II-2/19.3.8</t>
  </si>
  <si>
    <t>·  소화제 저장실 → 표 적용상 화재제어소로 취급.  II-2/10.4.3</t>
  </si>
  <si>
    <t>·  관통부·개구·덕트 → II-2/9.3, 9.4, 9.7이 별도로 규율.</t>
  </si>
  <si>
    <t>Table 9.1 — 격벽 — 주수직구역·수평구역 경계가 아닌 격벽</t>
  </si>
  <si>
    <t>여객선 · 36명 초과   |   대칭 표 — 상삼각만 표시하며 행·열 순서를 바꿔 읽어도 같은 값</t>
  </si>
  <si>
    <t>구역</t>
  </si>
  <si>
    <t>B-0 (a)</t>
  </si>
  <si>
    <t>A-0</t>
  </si>
  <si>
    <t>A-60</t>
  </si>
  <si>
    <t>A-0 (a)</t>
  </si>
  <si>
    <t>A-15</t>
  </si>
  <si>
    <t>A-0 (c)</t>
  </si>
  <si>
    <t>A-30</t>
  </si>
  <si>
    <t>B-15</t>
  </si>
  <si>
    <t>–</t>
  </si>
  <si>
    <t>A-60 (b,d)</t>
  </si>
  <si>
    <t>A-0 (d)</t>
  </si>
  <si>
    <t>A-60 (b)</t>
  </si>
  <si>
    <t>B-0</t>
  </si>
  <si>
    <t>C</t>
  </si>
  <si>
    <t>주석 전문은 04_주석 시트 참조.  괄호 안 문자 = 적용 주석 기호.  * = 강 또는 동등재이되 A급 불요.  – = 특별요건 없음.  빈 칸 = 대칭이므로 미인쇄.</t>
  </si>
  <si>
    <t>Table 9.2 — 갑판 — 주수직구역 스텝을 형성하지 않고 수평구역 경계도 아닌 갑판</t>
  </si>
  <si>
    <t>여객선 · 36명 초과   |   행 = 아래 구역(space below), 열 = 위 구역(space above) — 비대칭</t>
  </si>
  <si>
    <t>아래 구역 ↓ / 위 구역 →</t>
  </si>
  <si>
    <t>A-30 (a)</t>
  </si>
  <si>
    <t>주석 전문은 04_주석 시트 참조.  괄호 안 문자 = 적용 주석 기호.  * = 강 또는 동등재이되 A급 불요.  – = 특별요건 없음.</t>
  </si>
  <si>
    <t>Table 9.3 — 격벽 — 인접 구역을 분리하는 격벽</t>
  </si>
  <si>
    <t>여객선 · 36명 이하   |   대칭 표 — 상삼각만 표시하며 행·열 순서를 바꿔 읽어도 같은 값</t>
  </si>
  <si>
    <t>*</t>
  </si>
  <si>
    <t>C (e)</t>
  </si>
  <si>
    <t>B-0 (e)</t>
  </si>
  <si>
    <t>A-0 (a) / B-0 (e)</t>
  </si>
  <si>
    <t>A-15 / A-0 (d)</t>
  </si>
  <si>
    <t>A-30 / A-0 (d)</t>
  </si>
  <si>
    <t>A-0 (b)</t>
  </si>
  <si>
    <t>Table 9.4 — 갑판 — 인접 구역을 분리하는 갑판</t>
  </si>
  <si>
    <t>여객선 · 36명 이하   |   행 = 아래 구역(space below), 열 = 위 구역(space above) — 비대칭</t>
  </si>
  <si>
    <t>A-60 (f)</t>
  </si>
  <si>
    <t>Table 9.5 — 격벽 — 인접 구역을 분리하는 격벽</t>
  </si>
  <si>
    <t>화물선 (탱커 제외)   |   대칭 표 — 상삼각만 표시하며 행·열 순서를 바꿔 읽어도 같은 값</t>
  </si>
  <si>
    <t>A-0 (e)</t>
  </si>
  <si>
    <t>B-0 / A-0 (c)</t>
  </si>
  <si>
    <t>C (a,b)</t>
  </si>
  <si>
    <t>A-0 (g)</t>
  </si>
  <si>
    <t>* (h)</t>
  </si>
  <si>
    <t>Table 9.6 — 갑판 — 인접 구역을 분리하는 갑판</t>
  </si>
  <si>
    <t>화물선 (탱커 제외)   |   행 = 아래 구역(space below), 열 = 위 구역(space above) — 비대칭</t>
  </si>
  <si>
    <t>A-60 (i)</t>
  </si>
  <si>
    <t>Table 9.7 — 격벽 — 인접 구역을 분리하는 격벽</t>
  </si>
  <si>
    <t>탱커   |   대칭 표 — 상삼각만 표시하며 행·열 순서를 바꿔 읽어도 같은 값</t>
  </si>
  <si>
    <t>B-0 / A-0 (a)</t>
  </si>
  <si>
    <t>Table 9.8 — 갑판 — 인접 구역을 분리하는 갑판</t>
  </si>
  <si>
    <t>탱커   |   행 = 아래 구역(space below), 열 = 위 구역(space above) — 비대칭</t>
  </si>
  <si>
    <t>A-60 (e)</t>
  </si>
  <si>
    <t>표 주석</t>
  </si>
  <si>
    <t>각 표 아래 인쇄된 주석의 국문 정리. 괄호 안 문자는 해당 셀에 적용되는 주석 기호입니다.</t>
  </si>
  <si>
    <t>Table 9.1 · 9.2 주석</t>
  </si>
  <si>
    <t>a</t>
  </si>
  <si>
    <t>인접 구역이 같은 번호 범주이고 위첨자 a가 붙으면, 주관청이 불필요하다고 인정할 경우 그 사이 격벽·갑판을 설치하지 않아도 된다. 예: 범주 (12)에서 조리실 ↔ 부속 팬트리는 불요 (팬트리 격벽·갑판이 조리실 경계의 완전성을 유지하는 조건). 다만 조리실 ↔ 기관구역은 둘 다 (12)여도 격벽이 필요하다.</t>
  </si>
  <si>
    <t>b</t>
  </si>
  <si>
    <t>경하흘수선까지의 선측, 그리고 구명뗏목·활강대 아래·인접한 상부구조·갑판실 측면은 A-30으로 완화할 수 있다.</t>
  </si>
  <si>
    <t>c</t>
  </si>
  <si>
    <t>공용화장실이 계단격실 내부에 완전히 들어가 있으면, 그 화장실 격벽은 B급 완전성으로 가능하다.</t>
  </si>
  <si>
    <t>d</t>
  </si>
  <si>
    <t>범주 (6)(7)(8)(9) 구역이 집합장소 외곽 둘레 내부에 완전히 위치하면, 그 구역의 격벽은 B-0급 완전성으로 가능하다. 음향·영상·조명 설비 제어위치는 집합장소의 일부로 간주할 수 있다.</t>
  </si>
  <si>
    <t>강 또는 동등재이되 A급은 불요. 다만 범주 (10) 이외의 갑판이 전선·배관·환기덕트 관통을 위해 뚫리면 화염·연기 통과를 막도록 밀폐할 것. 비상발전기실↔개방갑판 구획은 고정식 가스소화 미설치 시 폐쇄수단 없는 공기흡입구가 허용된다.</t>
  </si>
  <si>
    <t>Table 9.3 · 9.4 주석</t>
  </si>
  <si>
    <t>어느 쪽이 적용되는지는 II-2/9.2.2.2 및 9.2.2.5 참조 (격벽이 갑판까지 연장되는지 여부).</t>
  </si>
  <si>
    <t>인접 구역이 같은 번호 범주이고 위첨자 b가 붙으면, 표의 등급은 인접 구역의 용도가 서로 다를 때에만 요구된다 (예: 범주 (9)). 조리실 ↔ 조리실은 격벽 불요, 조리실 ↔ 페인트실은 A-0 필요.</t>
  </si>
  <si>
    <t>조타실 ↔ 해도실 격벽은 B-0 가능. 안전센터가 선교 내부에 있는 경우, 선교와 안전센터를 나누는 칸막이에는 내화등급이 요구되지 않는다.</t>
  </si>
  <si>
    <t>II-2/9.2.2.4.2.3 및 .4 참조 — 두 구역 모두 스프링클러 미설치면 큰 값(첫 번째), 두 구역 모두 설치면 작은 값(두 번째), 스프링클러 구역과 비구역이 만나면 큰 값.</t>
  </si>
  <si>
    <t>e</t>
  </si>
  <si>
    <t>II-2/9.2.1.1.2 적용 시, Table 9.3의 B-0 및 C는 A-0으로 읽는다.</t>
  </si>
  <si>
    <t>f</t>
  </si>
  <si>
    <t>범주 (7) 기관구역이 주관청 판단상 화재위험이 거의 없으면 내화 단열은 불요.</t>
  </si>
  <si>
    <t>강 또는 동등재이되 A급은 불요. 범주 (10) 이외의 갑판 관통부는 화염·연기 통과 방지 밀폐. 또한 II-2/9.2.1.1.2 적용 시 Table 9.4의 *는 범주 (8)·(10)을 제외하고 A-0으로 읽는다.</t>
  </si>
  <si>
    <t>Table 9.5 · 9.6 주석</t>
  </si>
  <si>
    <t>방식 IIC 및 IIIC 방화에서는 격벽에 특별한 요건이 부과되지 않는다.</t>
  </si>
  <si>
    <t>방식 IIIC에서는 50㎡ 이상의 구역 또는 구역군 사이에 B-0급 B급 격벽을 설치한다.</t>
  </si>
  <si>
    <t>어느 쪽이 적용되는지는 II-2/9.2.3.2 및 9.2.3.4 참조 (격벽이 갑판까지 연장되는지 여부).</t>
  </si>
  <si>
    <t>인접 구역이 같은 번호 범주이고 위첨자 d가 붙으면, 표의 등급은 인접 구역의 용도가 서로 다를 때에만 요구된다 (예: 범주 (9)).</t>
  </si>
  <si>
    <t>조타실 · 해도실 · 무선실 상호간 격벽은 B-0 가능.</t>
  </si>
  <si>
    <t>위험물을 운송하지 않거나, 위험물이 그 격벽으로부터 수평 3m 이상 이격되어 적재되면 A-0 사용 가능.</t>
  </si>
  <si>
    <t>g</t>
  </si>
  <si>
    <t>위험물 운송 예정 화물구역은 II-2/19.3.8 적용.</t>
  </si>
  <si>
    <t>h</t>
  </si>
  <si>
    <t>Ro-ro 구역을 분리하는 격벽·갑판은 합리적으로 가스밀 폐쇄가 가능해야 하며, 주관청이 화재위험이 거의 없다고 판단하는 경우 실행 가능한 범위에서 A급 완전성을 가질 것.</t>
  </si>
  <si>
    <t>i</t>
  </si>
  <si>
    <t>강 또는 동등재이되 A급은 불요. 개방갑판 이외의 갑판 관통부는 화염·연기 통과 방지 밀폐.</t>
  </si>
  <si>
    <t>Table 9.7 · 9.8 주석</t>
  </si>
  <si>
    <t>인접 구역이 같은 번호 범주이고 위첨자 b가 붙으면, 표의 등급은 인접 구역의 용도가 서로 다를 때에만 요구된다 (예: 범주 (9)).</t>
  </si>
  <si>
    <t>화물펌프실 ↔ A류 기관구역 사이의 격벽·갑판은 화물펌프 축봉 등 글랜드 관통이 허용된다 — 효율적 윤활을 갖춘 가스타이트 실 또는 가스 실의 영속성을 보장하는 다른 수단을 그 격벽·갑판 위치에 설치할 것.</t>
  </si>
  <si>
    <t>참조 데이터</t>
  </si>
  <si>
    <t>03_조회 시트의 수식이 사용합니다. 편집하지 마십시오.</t>
  </si>
  <si>
    <t>격벽 시트</t>
  </si>
  <si>
    <t>갑판 시트</t>
  </si>
  <si>
    <t>범주 수</t>
  </si>
  <si>
    <t>병기 선택</t>
  </si>
  <si>
    <t>등급</t>
  </si>
  <si>
    <t>의미</t>
  </si>
  <si>
    <t>T9.1</t>
  </si>
  <si>
    <t>T9.2</t>
  </si>
  <si>
    <t>강재 구획 + 불연 단열. 1시간 화염·연기 차단, 단열 60분.</t>
  </si>
  <si>
    <t>T9.3</t>
  </si>
  <si>
    <t>T9.4</t>
  </si>
  <si>
    <t>상하 인접 — 갑판</t>
  </si>
  <si>
    <t>두 번째 값</t>
  </si>
  <si>
    <t>강재 구획 + 불연 단열. 1시간 화염·연기 차단, 단열 30분.</t>
  </si>
  <si>
    <t>T9.5</t>
  </si>
  <si>
    <t>T9.6</t>
  </si>
  <si>
    <t>강재 구획 + 불연 단열. 1시간 화염·연기 차단, 단열 15분.</t>
  </si>
  <si>
    <t>T9.7</t>
  </si>
  <si>
    <t>T9.8</t>
  </si>
  <si>
    <t>강재 구획. 1시간 화염·연기 차단은 그대로 필요하며 단열만 0분.</t>
  </si>
  <si>
    <t>승인 불연재 구획. 30분 화염 차단, 단열 15분. 연기 차단 요건 없음.</t>
  </si>
  <si>
    <t>승인 불연재 구획. 30분 화염 차단, 단열 0분. 연기 차단 요건 없음.</t>
  </si>
  <si>
    <t>승인 불연재로 구성. 화염·연기 차단 및 온도상승 요건 없음.</t>
  </si>
  <si>
    <t>강 또는 동등재이되 A급은 불요.</t>
  </si>
  <si>
    <t>조리실</t>
    <phoneticPr fontId="29" type="noConversion"/>
  </si>
  <si>
    <t>탱커</t>
    <phoneticPr fontId="29" type="noConversion"/>
  </si>
  <si>
    <t>기관실 — A류</t>
    <phoneticPr fontId="29" type="noConversion"/>
  </si>
  <si>
    <t>상하 인접 — 갑판</t>
    <phoneticPr fontId="2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</si>
</sst>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맑은 고딕"/>
      <family val="2"/>
      <scheme val="minor"/>
    </font>
    <font>
      <b/>
      <sz val="14"/>
      <color rgb="FF16222C"/>
      <name val="Malgun Gothic"/>
      <family val="3"/>
      <charset val="129"/>
    </font>
    <font>
      <sz val="9.5"/>
      <color rgb="FF5F6D7C"/>
      <name val="Malgun Gothic"/>
      <family val="3"/>
      <charset val="129"/>
    </font>
    <font>
      <b/>
      <sz val="11"/>
      <color rgb="FF16222C"/>
      <name val="Malgun Gothic"/>
      <family val="3"/>
      <charset val="129"/>
    </font>
    <font>
      <b/>
      <sz val="10"/>
      <color rgb="FF1F2933"/>
      <name val="Malgun Gothic"/>
      <family val="3"/>
      <charset val="129"/>
    </font>
    <font>
      <sz val="10"/>
      <color rgb="FF1F2933"/>
      <name val="Malgun Gothic"/>
      <family val="3"/>
      <charset val="129"/>
    </font>
    <font>
      <b/>
      <sz val="9.5"/>
      <color rgb="FFFFFFFF"/>
      <name val="Malgun Gothic"/>
      <family val="3"/>
      <charset val="129"/>
    </font>
    <font>
      <sz val="9"/>
      <color rgb="FF6B7885"/>
      <name val="Malgun Gothic"/>
      <family val="3"/>
      <charset val="129"/>
    </font>
    <font>
      <sz val="8.5"/>
      <color rgb="FF6B7885"/>
      <name val="Malgun Gothic"/>
      <family val="3"/>
      <charset val="129"/>
    </font>
    <font>
      <sz val="10"/>
      <color rgb="FFB08A3E"/>
      <name val="Malgun Gothic"/>
      <family val="3"/>
      <charset val="129"/>
    </font>
    <font>
      <b/>
      <sz val="9"/>
      <color rgb="FFFFFFFF"/>
      <name val="Malgun Gothic"/>
      <family val="3"/>
      <charset val="129"/>
    </font>
    <font>
      <b/>
      <sz val="9.5"/>
      <color rgb="FF1F2933"/>
      <name val="Malgun Gothic"/>
      <family val="3"/>
      <charset val="129"/>
    </font>
    <font>
      <sz val="9.5"/>
      <color rgb="FF1F2933"/>
      <name val="Malgun Gothic"/>
      <family val="3"/>
      <charset val="129"/>
    </font>
    <font>
      <sz val="9"/>
      <color rgb="FF42623F"/>
      <name val="Malgun Gothic"/>
      <family val="3"/>
      <charset val="129"/>
    </font>
    <font>
      <sz val="9"/>
      <color rgb="FF2F4F68"/>
      <name val="Malgun Gothic"/>
      <family val="3"/>
      <charset val="129"/>
    </font>
    <font>
      <b/>
      <sz val="9"/>
      <color rgb="FF8A1D14"/>
      <name val="Malgun Gothic"/>
      <family val="3"/>
      <charset val="129"/>
    </font>
    <font>
      <sz val="9"/>
      <color rgb="FF1F2933"/>
      <name val="Malgun Gothic"/>
      <family val="3"/>
      <charset val="129"/>
    </font>
    <font>
      <sz val="9"/>
      <color rgb="FF6E540B"/>
      <name val="Malgun Gothic"/>
      <family val="3"/>
      <charset val="129"/>
    </font>
    <font>
      <sz val="9"/>
      <color rgb="FF934511"/>
      <name val="Malgun Gothic"/>
      <family val="3"/>
      <charset val="129"/>
    </font>
    <font>
      <sz val="9"/>
      <color rgb="FF36543A"/>
      <name val="Malgun Gothic"/>
      <family val="3"/>
      <charset val="129"/>
    </font>
    <font>
      <sz val="9"/>
      <color rgb="FF8894A0"/>
      <name val="Malgun Gothic"/>
      <family val="3"/>
      <charset val="129"/>
    </font>
    <font>
      <sz val="9"/>
      <color rgb="FF4E4E5E"/>
      <name val="Malgun Gothic"/>
      <family val="3"/>
      <charset val="129"/>
    </font>
    <font>
      <sz val="9"/>
      <color rgb="FF5C6670"/>
      <name val="Malgun Gothic"/>
      <family val="3"/>
      <charset val="129"/>
    </font>
    <font>
      <b/>
      <sz val="11"/>
      <color rgb="FF1F6E7C"/>
      <name val="Malgun Gothic"/>
      <family val="3"/>
      <charset val="129"/>
    </font>
    <font>
      <b/>
      <sz val="11"/>
      <color rgb="FF0000FF"/>
      <name val="Malgun Gothic"/>
      <family val="3"/>
      <charset val="129"/>
    </font>
    <font>
      <b/>
      <sz val="11"/>
      <color rgb="FF1F2933"/>
      <name val="Malgun Gothic"/>
      <family val="3"/>
      <charset val="129"/>
    </font>
    <font>
      <b/>
      <sz val="20"/>
      <color rgb="FF8A1D14"/>
      <name val="Malgun Gothic"/>
      <family val="3"/>
      <charset val="129"/>
    </font>
    <font>
      <b/>
      <sz val="9"/>
      <color rgb="FF6B7885"/>
      <name val="Malgun Gothic"/>
      <family val="3"/>
      <charset val="129"/>
    </font>
    <font>
      <sz val="9.5"/>
      <color rgb="FF33414F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EDF1F5"/>
      </patternFill>
    </fill>
    <fill>
      <patternFill patternType="solid">
        <fgColor rgb="FF4A5A68"/>
      </patternFill>
    </fill>
    <fill>
      <patternFill patternType="solid">
        <fgColor rgb="FFEDF4EC"/>
      </patternFill>
    </fill>
    <fill>
      <patternFill patternType="solid">
        <fgColor rgb="FFE6EDF4"/>
      </patternFill>
    </fill>
    <fill>
      <patternFill patternType="solid">
        <fgColor rgb="FFFBE7E4"/>
      </patternFill>
    </fill>
    <fill>
      <patternFill patternType="solid">
        <fgColor rgb="FFFBF4DE"/>
      </patternFill>
    </fill>
    <fill>
      <patternFill patternType="solid">
        <fgColor rgb="FFFCEEE0"/>
      </patternFill>
    </fill>
    <fill>
      <patternFill patternType="solid">
        <fgColor rgb="FFE7F1E8"/>
      </patternFill>
    </fill>
    <fill>
      <patternFill patternType="solid">
        <fgColor rgb="FFF6F8FA"/>
      </patternFill>
    </fill>
    <fill>
      <patternFill patternType="solid">
        <fgColor rgb="FFEDEDF2"/>
      </patternFill>
    </fill>
    <fill>
      <patternFill patternType="solid">
        <fgColor rgb="FFEEF1F3"/>
      </patternFill>
    </fill>
    <fill>
      <patternFill patternType="solid">
        <fgColor rgb="FFFBF6E9"/>
      </patternFill>
    </fill>
    <fill>
      <patternFill patternType="solid">
        <fgColor rgb="FFFFF9D6"/>
      </patternFill>
    </fill>
    <fill>
      <patternFill patternType="solid">
        <fgColor rgb="FFF2F4F7"/>
      </patternFill>
    </fill>
  </fills>
  <borders count="4">
    <border>
      <left/>
      <right/>
      <top/>
      <bottom/>
      <diagonal/>
    </border>
    <border>
      <left style="thin">
        <color rgb="FFC8D0D8"/>
      </left>
      <right style="thin">
        <color rgb="FFC8D0D8"/>
      </right>
      <top style="thin">
        <color rgb="FFC8D0D8"/>
      </top>
      <bottom style="thin">
        <color rgb="FFC8D0D8"/>
      </bottom>
      <diagonal/>
    </border>
    <border>
      <left style="thin">
        <color rgb="FFC8D0D8"/>
      </left>
      <right style="thin">
        <color rgb="FFC8D0D8"/>
      </right>
      <top style="medium">
        <color rgb="FF4A5A68"/>
      </top>
      <bottom style="medium">
        <color rgb="FF4A5A68"/>
      </bottom>
      <diagonal/>
    </border>
    <border>
      <left style="medium">
        <color rgb="FF4A5A68"/>
      </left>
      <right style="medium">
        <color rgb="FF4A5A68"/>
      </right>
      <top style="medium">
        <color rgb="FF4A5A68"/>
      </top>
      <bottom style="medium">
        <color rgb="FF4A5A68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4" fillId="14" borderId="1" xfId="0" applyFont="1" applyFill="1" applyBorder="1" applyAlignment="1" applyProtection="1">
      <alignment horizontal="left" vertical="center"/>
      <protection locked="0"/>
    </xf>
    <xf numFmtId="0" fontId="8" fillId="0" borderId="0" xfId="0" applyFont="1" applyAlignment="1">
      <alignment horizontal="left" vertical="center" wrapText="1"/>
    </xf>
    <xf numFmtId="0" fontId="8" fillId="0" borderId="0" xfId="0" applyFont="1"/>
    <xf numFmtId="0" fontId="7" fillId="15" borderId="1" xfId="0" applyFont="1" applyFill="1" applyBorder="1"/>
    <xf numFmtId="0" fontId="2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26" fillId="6" borderId="3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22" fillId="12" borderId="1" xfId="0" applyFont="1" applyFill="1" applyBorder="1" applyAlignment="1">
      <alignment horizontal="center" vertical="center" wrapText="1"/>
    </xf>
    <xf numFmtId="0" fontId="23" fillId="1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6" fillId="3" borderId="0" xfId="0" applyFont="1" applyFill="1"/>
    <xf numFmtId="0" fontId="5" fillId="0" borderId="0" xfId="0" applyFont="1"/>
    <xf numFmtId="0" fontId="4" fillId="0" borderId="0" xfId="0" applyFont="1"/>
    <xf numFmtId="0" fontId="3" fillId="2" borderId="0" xfId="0" applyFont="1" applyFill="1"/>
    <xf numFmtId="0" fontId="0" fillId="0" borderId="0" xfId="0"/>
    <xf numFmtId="0" fontId="7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left" vertical="center" wrapText="1"/>
    </xf>
    <xf numFmtId="0" fontId="28" fillId="0" borderId="0" xfId="0" applyFont="1" applyAlignment="1">
      <alignment horizontal="left" vertical="center" wrapText="1"/>
    </xf>
    <xf numFmtId="0" fontId="27" fillId="0" borderId="0" xfId="0" applyFont="1"/>
    <xf numFmtId="0" fontId="5" fillId="0" borderId="0" xfId="0" applyFont="1" applyAlignment="1">
      <alignment horizontal="left" vertical="center" wrapText="1"/>
    </xf>
    <xf numFmtId="0" fontId="7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34"/>
  <sheetViews>
    <sheetView showGridLines="0" tabSelected="1" workbookViewId="0"/>
  </sheetViews>
  <sheetFormatPr defaultRowHeight="16.5"/>
  <cols>
    <col min="1" max="1" width="24" customWidth="1"/>
    <col min="2" max="2" width="108" customWidth="1"/>
  </cols>
  <sheetData>
    <row r="1" spans="1:2" ht="21.95" customHeight="1">
      <c r="A1" s="1" t="s">
        <v>0</v>
      </c>
    </row>
    <row r="2" spans="1:2">
      <c r="A2" s="2" t="s">
        <v>1</v>
      </c>
    </row>
    <row r="4" spans="1:2">
      <c r="A4" s="38" t="s">
        <v>2</v>
      </c>
      <c r="B4" s="39"/>
    </row>
    <row r="5" spans="1:2">
      <c r="A5" s="3" t="s">
        <v>3</v>
      </c>
      <c r="B5" s="4" t="s">
        <v>4</v>
      </c>
    </row>
    <row r="6" spans="1:2">
      <c r="A6" s="3" t="s">
        <v>5</v>
      </c>
      <c r="B6" s="4" t="s">
        <v>6</v>
      </c>
    </row>
    <row r="7" spans="1:2">
      <c r="A7" s="3" t="s">
        <v>7</v>
      </c>
      <c r="B7" s="4" t="s">
        <v>8</v>
      </c>
    </row>
    <row r="8" spans="1:2">
      <c r="A8" s="3" t="s">
        <v>9</v>
      </c>
      <c r="B8" s="4" t="s">
        <v>10</v>
      </c>
    </row>
    <row r="9" spans="1:2">
      <c r="A9" s="3" t="s">
        <v>11</v>
      </c>
      <c r="B9" s="4" t="s">
        <v>12</v>
      </c>
    </row>
    <row r="10" spans="1:2">
      <c r="A10" s="3" t="s">
        <v>13</v>
      </c>
      <c r="B10" s="4" t="s">
        <v>14</v>
      </c>
    </row>
    <row r="12" spans="1:2">
      <c r="A12" s="38" t="s">
        <v>15</v>
      </c>
      <c r="B12" s="39"/>
    </row>
    <row r="13" spans="1:2">
      <c r="A13" s="3" t="s">
        <v>16</v>
      </c>
      <c r="B13" s="4" t="s">
        <v>17</v>
      </c>
    </row>
    <row r="14" spans="1:2">
      <c r="A14" s="3" t="s">
        <v>18</v>
      </c>
      <c r="B14" s="4" t="s">
        <v>19</v>
      </c>
    </row>
    <row r="15" spans="1:2">
      <c r="A15" s="3" t="s">
        <v>20</v>
      </c>
      <c r="B15" s="4" t="s">
        <v>21</v>
      </c>
    </row>
    <row r="16" spans="1:2">
      <c r="A16" s="3" t="s">
        <v>22</v>
      </c>
      <c r="B16" s="4" t="s">
        <v>23</v>
      </c>
    </row>
    <row r="18" spans="1:2">
      <c r="A18" s="38" t="s">
        <v>24</v>
      </c>
      <c r="B18" s="39"/>
    </row>
    <row r="19" spans="1:2">
      <c r="A19" s="3" t="s">
        <v>25</v>
      </c>
      <c r="B19" s="4" t="s">
        <v>26</v>
      </c>
    </row>
    <row r="20" spans="1:2">
      <c r="A20" s="3" t="s">
        <v>27</v>
      </c>
      <c r="B20" s="4" t="s">
        <v>28</v>
      </c>
    </row>
    <row r="21" spans="1:2">
      <c r="A21" s="3" t="s">
        <v>29</v>
      </c>
      <c r="B21" s="4" t="s">
        <v>30</v>
      </c>
    </row>
    <row r="22" spans="1:2">
      <c r="A22" s="3" t="s">
        <v>31</v>
      </c>
      <c r="B22" s="4" t="s">
        <v>32</v>
      </c>
    </row>
    <row r="23" spans="1:2">
      <c r="A23" s="3" t="s">
        <v>33</v>
      </c>
      <c r="B23" s="4" t="s">
        <v>34</v>
      </c>
    </row>
    <row r="24" spans="1:2">
      <c r="A24" s="3" t="s">
        <v>35</v>
      </c>
      <c r="B24" s="4" t="s">
        <v>36</v>
      </c>
    </row>
    <row r="25" spans="1:2">
      <c r="A25" s="3" t="s">
        <v>37</v>
      </c>
      <c r="B25" s="4" t="s">
        <v>38</v>
      </c>
    </row>
    <row r="27" spans="1:2">
      <c r="A27" s="38" t="s">
        <v>39</v>
      </c>
      <c r="B27" s="39"/>
    </row>
    <row r="28" spans="1:2" ht="27">
      <c r="A28" s="3" t="s">
        <v>40</v>
      </c>
      <c r="B28" s="4" t="s">
        <v>41</v>
      </c>
    </row>
    <row r="29" spans="1:2">
      <c r="A29" s="3" t="s">
        <v>42</v>
      </c>
      <c r="B29" s="4" t="s">
        <v>43</v>
      </c>
    </row>
    <row r="31" spans="1:2" ht="27">
      <c r="A31" s="3" t="s">
        <v>44</v>
      </c>
      <c r="B31" s="4" t="s">
        <v>45</v>
      </c>
    </row>
    <row r="32" spans="1:2">
      <c r="A32" s="3" t="s">
        <v>46</v>
      </c>
      <c r="B32" s="4" t="s">
        <v>47</v>
      </c>
    </row>
    <row r="33" spans="1:2">
      <c r="A33" s="3" t="s">
        <v>48</v>
      </c>
      <c r="B33" s="4" t="s">
        <v>49</v>
      </c>
    </row>
    <row r="34" spans="1:2">
      <c r="A34" s="3" t="s">
        <v>50</v>
      </c>
      <c r="B34" s="4" t="s">
        <v>51</v>
      </c>
    </row>
  </sheetData>
  <mergeCells count="4">
    <mergeCell ref="A4:B4"/>
    <mergeCell ref="A27:B27"/>
    <mergeCell ref="A18:B18"/>
    <mergeCell ref="A12:B12"/>
  </mergeCells>
  <phoneticPr fontId="29" type="noConversion"/>
  <pageMargins left="0.4" right="0.4" top="0.5" bottom="0.5" header="0.5" footer="0.5"/>
  <pageSetup paperSize="9" fitToHeight="0" orientation="portrait"/>
  <headerFooter>
    <oddFooter>&amp;LSOLAS II-2 Reg.9 — 00_안내&amp;R&amp;P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85"/>
  <sheetViews>
    <sheetView showGridLines="0" workbookViewId="0">
      <pane ySplit="3" topLeftCell="A4" activePane="bottomLeft" state="frozen"/>
      <selection pane="bottomLeft"/>
    </sheetView>
  </sheetViews>
  <sheetFormatPr defaultRowHeight="16.5"/>
  <cols>
    <col min="1" max="2" width="30" customWidth="1"/>
    <col min="3" max="5" width="12" customWidth="1"/>
    <col min="6" max="6" width="10" customWidth="1"/>
    <col min="7" max="7" width="62" customWidth="1"/>
  </cols>
  <sheetData>
    <row r="1" spans="1:7" ht="21.95" customHeight="1">
      <c r="A1" s="1" t="s">
        <v>52</v>
      </c>
    </row>
    <row r="2" spans="1:7">
      <c r="A2" s="2" t="s">
        <v>53</v>
      </c>
    </row>
    <row r="3" spans="1:7" ht="32.1" customHeight="1">
      <c r="A3" s="5" t="s">
        <v>54</v>
      </c>
      <c r="B3" s="5" t="s">
        <v>55</v>
      </c>
      <c r="C3" s="5" t="s">
        <v>56</v>
      </c>
      <c r="D3" s="5" t="s">
        <v>57</v>
      </c>
      <c r="E3" s="5" t="s">
        <v>58</v>
      </c>
      <c r="F3" s="5" t="s">
        <v>22</v>
      </c>
      <c r="G3" s="5" t="s">
        <v>59</v>
      </c>
    </row>
    <row r="4" spans="1:7">
      <c r="A4" s="6" t="s">
        <v>60</v>
      </c>
      <c r="B4" s="7" t="s">
        <v>61</v>
      </c>
      <c r="C4" s="8">
        <v>1</v>
      </c>
      <c r="D4" s="8">
        <v>1</v>
      </c>
      <c r="E4" s="8">
        <v>1</v>
      </c>
      <c r="F4" s="8">
        <v>1</v>
      </c>
      <c r="G4" s="9"/>
    </row>
    <row r="5" spans="1:7">
      <c r="A5" s="6" t="s">
        <v>62</v>
      </c>
      <c r="B5" s="7" t="s">
        <v>63</v>
      </c>
      <c r="C5" s="8">
        <v>1</v>
      </c>
      <c r="D5" s="8">
        <v>1</v>
      </c>
      <c r="E5" s="8">
        <v>1</v>
      </c>
      <c r="F5" s="8">
        <v>1</v>
      </c>
      <c r="G5" s="9"/>
    </row>
    <row r="6" spans="1:7">
      <c r="A6" s="6" t="s">
        <v>64</v>
      </c>
      <c r="B6" s="7" t="s">
        <v>65</v>
      </c>
      <c r="C6" s="8">
        <v>1</v>
      </c>
      <c r="D6" s="8">
        <v>1</v>
      </c>
      <c r="E6" s="8">
        <v>1</v>
      </c>
      <c r="F6" s="8">
        <v>1</v>
      </c>
      <c r="G6" s="9"/>
    </row>
    <row r="7" spans="1:7">
      <c r="A7" s="6" t="s">
        <v>66</v>
      </c>
      <c r="B7" s="7" t="s">
        <v>67</v>
      </c>
      <c r="C7" s="8">
        <v>1</v>
      </c>
      <c r="D7" s="8">
        <v>1</v>
      </c>
      <c r="E7" s="8">
        <v>1</v>
      </c>
      <c r="F7" s="8">
        <v>1</v>
      </c>
      <c r="G7" s="9"/>
    </row>
    <row r="8" spans="1:7">
      <c r="A8" s="6" t="s">
        <v>68</v>
      </c>
      <c r="B8" s="7" t="s">
        <v>69</v>
      </c>
      <c r="C8" s="8">
        <v>1</v>
      </c>
      <c r="D8" s="8">
        <v>1</v>
      </c>
      <c r="E8" s="8">
        <v>1</v>
      </c>
      <c r="F8" s="8">
        <v>1</v>
      </c>
      <c r="G8" s="9"/>
    </row>
    <row r="9" spans="1:7">
      <c r="A9" s="6" t="s">
        <v>70</v>
      </c>
      <c r="B9" s="7" t="s">
        <v>71</v>
      </c>
      <c r="C9" s="8">
        <v>1</v>
      </c>
      <c r="D9" s="8">
        <v>1</v>
      </c>
      <c r="E9" s="8">
        <v>1</v>
      </c>
      <c r="F9" s="8">
        <v>1</v>
      </c>
      <c r="G9" s="9"/>
    </row>
    <row r="10" spans="1:7">
      <c r="A10" s="6" t="s">
        <v>72</v>
      </c>
      <c r="B10" s="7" t="s">
        <v>73</v>
      </c>
      <c r="C10" s="8">
        <v>1</v>
      </c>
      <c r="D10" s="8">
        <v>1</v>
      </c>
      <c r="E10" s="8">
        <v>1</v>
      </c>
      <c r="F10" s="8">
        <v>1</v>
      </c>
      <c r="G10" s="9"/>
    </row>
    <row r="11" spans="1:7">
      <c r="A11" s="6" t="s">
        <v>74</v>
      </c>
      <c r="B11" s="7" t="s">
        <v>75</v>
      </c>
      <c r="C11" s="8">
        <v>1</v>
      </c>
      <c r="D11" s="8">
        <v>1</v>
      </c>
      <c r="E11" s="10" t="s">
        <v>76</v>
      </c>
      <c r="F11" s="10" t="s">
        <v>76</v>
      </c>
      <c r="G11" s="9" t="s">
        <v>77</v>
      </c>
    </row>
    <row r="12" spans="1:7">
      <c r="A12" s="6" t="s">
        <v>78</v>
      </c>
      <c r="B12" s="7" t="s">
        <v>79</v>
      </c>
      <c r="C12" s="8">
        <v>1</v>
      </c>
      <c r="D12" s="8">
        <v>1</v>
      </c>
      <c r="E12" s="8">
        <v>1</v>
      </c>
      <c r="F12" s="8">
        <v>1</v>
      </c>
      <c r="G12" s="9" t="s">
        <v>80</v>
      </c>
    </row>
    <row r="13" spans="1:7">
      <c r="A13" s="6" t="s">
        <v>81</v>
      </c>
      <c r="B13" s="7" t="s">
        <v>82</v>
      </c>
      <c r="C13" s="8">
        <v>2</v>
      </c>
      <c r="D13" s="8">
        <v>4</v>
      </c>
      <c r="E13" s="8">
        <v>4</v>
      </c>
      <c r="F13" s="8">
        <v>4</v>
      </c>
      <c r="G13" s="9"/>
    </row>
    <row r="14" spans="1:7">
      <c r="A14" s="6" t="s">
        <v>83</v>
      </c>
      <c r="B14" s="7" t="s">
        <v>84</v>
      </c>
      <c r="C14" s="8">
        <v>2</v>
      </c>
      <c r="D14" s="8">
        <v>4</v>
      </c>
      <c r="E14" s="8">
        <v>4</v>
      </c>
      <c r="F14" s="8">
        <v>4</v>
      </c>
      <c r="G14" s="9"/>
    </row>
    <row r="15" spans="1:7">
      <c r="A15" s="6" t="s">
        <v>85</v>
      </c>
      <c r="B15" s="7" t="s">
        <v>86</v>
      </c>
      <c r="C15" s="8">
        <v>2</v>
      </c>
      <c r="D15" s="8">
        <v>4</v>
      </c>
      <c r="E15" s="8">
        <v>4</v>
      </c>
      <c r="F15" s="8">
        <v>4</v>
      </c>
      <c r="G15" s="9"/>
    </row>
    <row r="16" spans="1:7">
      <c r="A16" s="6" t="s">
        <v>87</v>
      </c>
      <c r="B16" s="7" t="s">
        <v>88</v>
      </c>
      <c r="C16" s="8">
        <v>2</v>
      </c>
      <c r="D16" s="8">
        <v>4</v>
      </c>
      <c r="E16" s="8">
        <v>4</v>
      </c>
      <c r="F16" s="8">
        <v>4</v>
      </c>
      <c r="G16" s="9"/>
    </row>
    <row r="17" spans="1:7">
      <c r="A17" s="6" t="s">
        <v>89</v>
      </c>
      <c r="B17" s="7" t="s">
        <v>90</v>
      </c>
      <c r="C17" s="8">
        <v>3</v>
      </c>
      <c r="D17" s="8">
        <v>2</v>
      </c>
      <c r="E17" s="8">
        <v>2</v>
      </c>
      <c r="F17" s="8">
        <v>2</v>
      </c>
      <c r="G17" s="9"/>
    </row>
    <row r="18" spans="1:7">
      <c r="A18" s="6" t="s">
        <v>91</v>
      </c>
      <c r="B18" s="7" t="s">
        <v>92</v>
      </c>
      <c r="C18" s="8">
        <v>3</v>
      </c>
      <c r="D18" s="8">
        <v>2</v>
      </c>
      <c r="E18" s="8">
        <v>2</v>
      </c>
      <c r="F18" s="8">
        <v>2</v>
      </c>
      <c r="G18" s="9"/>
    </row>
    <row r="19" spans="1:7" ht="22.5">
      <c r="A19" s="6" t="s">
        <v>93</v>
      </c>
      <c r="B19" s="7" t="s">
        <v>94</v>
      </c>
      <c r="C19" s="8">
        <v>4</v>
      </c>
      <c r="D19" s="10" t="s">
        <v>76</v>
      </c>
      <c r="E19" s="10" t="s">
        <v>76</v>
      </c>
      <c r="F19" s="10" t="s">
        <v>76</v>
      </c>
      <c r="G19" s="9" t="s">
        <v>95</v>
      </c>
    </row>
    <row r="20" spans="1:7">
      <c r="A20" s="6" t="s">
        <v>96</v>
      </c>
      <c r="B20" s="7" t="s">
        <v>97</v>
      </c>
      <c r="C20" s="8">
        <v>4</v>
      </c>
      <c r="D20" s="10" t="s">
        <v>76</v>
      </c>
      <c r="E20" s="10" t="s">
        <v>76</v>
      </c>
      <c r="F20" s="10" t="s">
        <v>76</v>
      </c>
      <c r="G20" s="9" t="s">
        <v>98</v>
      </c>
    </row>
    <row r="21" spans="1:7">
      <c r="A21" s="6" t="s">
        <v>99</v>
      </c>
      <c r="B21" s="7" t="s">
        <v>100</v>
      </c>
      <c r="C21" s="8">
        <v>4</v>
      </c>
      <c r="D21" s="10" t="s">
        <v>76</v>
      </c>
      <c r="E21" s="10" t="s">
        <v>76</v>
      </c>
      <c r="F21" s="10" t="s">
        <v>76</v>
      </c>
      <c r="G21" s="9" t="s">
        <v>101</v>
      </c>
    </row>
    <row r="22" spans="1:7">
      <c r="A22" s="6" t="s">
        <v>102</v>
      </c>
      <c r="B22" s="7" t="s">
        <v>103</v>
      </c>
      <c r="C22" s="8">
        <v>4</v>
      </c>
      <c r="D22" s="10" t="s">
        <v>76</v>
      </c>
      <c r="E22" s="10" t="s">
        <v>76</v>
      </c>
      <c r="F22" s="10" t="s">
        <v>76</v>
      </c>
      <c r="G22" s="9" t="s">
        <v>101</v>
      </c>
    </row>
    <row r="23" spans="1:7">
      <c r="A23" s="6" t="s">
        <v>104</v>
      </c>
      <c r="B23" s="7" t="s">
        <v>105</v>
      </c>
      <c r="C23" s="8">
        <v>5</v>
      </c>
      <c r="D23" s="8">
        <v>10</v>
      </c>
      <c r="E23" s="8">
        <v>10</v>
      </c>
      <c r="F23" s="8">
        <v>10</v>
      </c>
      <c r="G23" s="9"/>
    </row>
    <row r="24" spans="1:7">
      <c r="A24" s="6" t="s">
        <v>106</v>
      </c>
      <c r="B24" s="7" t="s">
        <v>107</v>
      </c>
      <c r="C24" s="8">
        <v>5</v>
      </c>
      <c r="D24" s="8">
        <v>10</v>
      </c>
      <c r="E24" s="8">
        <v>10</v>
      </c>
      <c r="F24" s="8">
        <v>10</v>
      </c>
      <c r="G24" s="9"/>
    </row>
    <row r="25" spans="1:7">
      <c r="A25" s="6" t="s">
        <v>108</v>
      </c>
      <c r="B25" s="7" t="s">
        <v>109</v>
      </c>
      <c r="C25" s="8">
        <v>6</v>
      </c>
      <c r="D25" s="8">
        <v>3</v>
      </c>
      <c r="E25" s="8">
        <v>3</v>
      </c>
      <c r="F25" s="8">
        <v>3</v>
      </c>
      <c r="G25" s="9"/>
    </row>
    <row r="26" spans="1:7">
      <c r="A26" s="6" t="s">
        <v>110</v>
      </c>
      <c r="B26" s="7" t="s">
        <v>111</v>
      </c>
      <c r="C26" s="8">
        <v>7</v>
      </c>
      <c r="D26" s="8">
        <v>3</v>
      </c>
      <c r="E26" s="8">
        <v>3</v>
      </c>
      <c r="F26" s="8">
        <v>3</v>
      </c>
      <c r="G26" s="9"/>
    </row>
    <row r="27" spans="1:7">
      <c r="A27" s="6" t="s">
        <v>112</v>
      </c>
      <c r="B27" s="7" t="s">
        <v>113</v>
      </c>
      <c r="C27" s="8">
        <v>6</v>
      </c>
      <c r="D27" s="8">
        <v>3</v>
      </c>
      <c r="E27" s="8">
        <v>3</v>
      </c>
      <c r="F27" s="8">
        <v>3</v>
      </c>
      <c r="G27" s="9"/>
    </row>
    <row r="28" spans="1:7">
      <c r="A28" s="6" t="s">
        <v>114</v>
      </c>
      <c r="B28" s="7" t="s">
        <v>115</v>
      </c>
      <c r="C28" s="8">
        <v>6</v>
      </c>
      <c r="D28" s="8">
        <v>3</v>
      </c>
      <c r="E28" s="8">
        <v>3</v>
      </c>
      <c r="F28" s="8">
        <v>3</v>
      </c>
      <c r="G28" s="9"/>
    </row>
    <row r="29" spans="1:7">
      <c r="A29" s="6" t="s">
        <v>116</v>
      </c>
      <c r="B29" s="7" t="s">
        <v>117</v>
      </c>
      <c r="C29" s="8">
        <v>6</v>
      </c>
      <c r="D29" s="8">
        <v>3</v>
      </c>
      <c r="E29" s="8">
        <v>3</v>
      </c>
      <c r="F29" s="8">
        <v>3</v>
      </c>
      <c r="G29" s="9"/>
    </row>
    <row r="30" spans="1:7">
      <c r="A30" s="6" t="s">
        <v>118</v>
      </c>
      <c r="B30" s="7" t="s">
        <v>119</v>
      </c>
      <c r="C30" s="8">
        <v>6</v>
      </c>
      <c r="D30" s="8">
        <v>3</v>
      </c>
      <c r="E30" s="8">
        <v>3</v>
      </c>
      <c r="F30" s="8">
        <v>3</v>
      </c>
      <c r="G30" s="9"/>
    </row>
    <row r="31" spans="1:7">
      <c r="A31" s="6" t="s">
        <v>120</v>
      </c>
      <c r="B31" s="7" t="s">
        <v>121</v>
      </c>
      <c r="C31" s="8">
        <v>7</v>
      </c>
      <c r="D31" s="8">
        <v>3</v>
      </c>
      <c r="E31" s="8">
        <v>3</v>
      </c>
      <c r="F31" s="8">
        <v>3</v>
      </c>
      <c r="G31" s="9"/>
    </row>
    <row r="32" spans="1:7">
      <c r="A32" s="6" t="s">
        <v>122</v>
      </c>
      <c r="B32" s="7" t="s">
        <v>123</v>
      </c>
      <c r="C32" s="8">
        <v>8</v>
      </c>
      <c r="D32" s="8">
        <v>3</v>
      </c>
      <c r="E32" s="8">
        <v>3</v>
      </c>
      <c r="F32" s="8">
        <v>3</v>
      </c>
      <c r="G32" s="9"/>
    </row>
    <row r="33" spans="1:7">
      <c r="A33" s="6" t="s">
        <v>124</v>
      </c>
      <c r="B33" s="7" t="s">
        <v>125</v>
      </c>
      <c r="C33" s="8">
        <v>7</v>
      </c>
      <c r="D33" s="8">
        <v>3</v>
      </c>
      <c r="E33" s="8">
        <v>3</v>
      </c>
      <c r="F33" s="8">
        <v>3</v>
      </c>
      <c r="G33" s="9"/>
    </row>
    <row r="34" spans="1:7">
      <c r="A34" s="6" t="s">
        <v>126</v>
      </c>
      <c r="B34" s="7" t="s">
        <v>127</v>
      </c>
      <c r="C34" s="8">
        <v>7</v>
      </c>
      <c r="D34" s="8">
        <v>3</v>
      </c>
      <c r="E34" s="8">
        <v>3</v>
      </c>
      <c r="F34" s="8">
        <v>3</v>
      </c>
      <c r="G34" s="9"/>
    </row>
    <row r="35" spans="1:7">
      <c r="A35" s="6" t="s">
        <v>128</v>
      </c>
      <c r="B35" s="7" t="s">
        <v>129</v>
      </c>
      <c r="C35" s="8">
        <v>7</v>
      </c>
      <c r="D35" s="8">
        <v>3</v>
      </c>
      <c r="E35" s="8">
        <v>3</v>
      </c>
      <c r="F35" s="8">
        <v>3</v>
      </c>
      <c r="G35" s="9"/>
    </row>
    <row r="36" spans="1:7">
      <c r="A36" s="6" t="s">
        <v>130</v>
      </c>
      <c r="B36" s="7" t="s">
        <v>131</v>
      </c>
      <c r="C36" s="8">
        <v>7</v>
      </c>
      <c r="D36" s="8">
        <v>3</v>
      </c>
      <c r="E36" s="8">
        <v>3</v>
      </c>
      <c r="F36" s="8">
        <v>3</v>
      </c>
      <c r="G36" s="9"/>
    </row>
    <row r="37" spans="1:7">
      <c r="A37" s="6" t="s">
        <v>132</v>
      </c>
      <c r="B37" s="7" t="s">
        <v>133</v>
      </c>
      <c r="C37" s="8">
        <v>7</v>
      </c>
      <c r="D37" s="8">
        <v>3</v>
      </c>
      <c r="E37" s="8">
        <v>3</v>
      </c>
      <c r="F37" s="8">
        <v>3</v>
      </c>
      <c r="G37" s="9"/>
    </row>
    <row r="38" spans="1:7">
      <c r="A38" s="6" t="s">
        <v>134</v>
      </c>
      <c r="B38" s="7" t="s">
        <v>135</v>
      </c>
      <c r="C38" s="8">
        <v>14</v>
      </c>
      <c r="D38" s="8">
        <v>9</v>
      </c>
      <c r="E38" s="8">
        <v>9</v>
      </c>
      <c r="F38" s="8">
        <v>9</v>
      </c>
      <c r="G38" s="9"/>
    </row>
    <row r="39" spans="1:7">
      <c r="A39" s="6" t="s">
        <v>136</v>
      </c>
      <c r="B39" s="7" t="s">
        <v>137</v>
      </c>
      <c r="C39" s="8">
        <v>7</v>
      </c>
      <c r="D39" s="8">
        <v>3</v>
      </c>
      <c r="E39" s="8">
        <v>3</v>
      </c>
      <c r="F39" s="8">
        <v>3</v>
      </c>
      <c r="G39" s="9"/>
    </row>
    <row r="40" spans="1:7">
      <c r="A40" s="6" t="s">
        <v>138</v>
      </c>
      <c r="B40" s="7" t="s">
        <v>139</v>
      </c>
      <c r="C40" s="8">
        <v>7</v>
      </c>
      <c r="D40" s="8">
        <v>3</v>
      </c>
      <c r="E40" s="8">
        <v>3</v>
      </c>
      <c r="F40" s="8">
        <v>3</v>
      </c>
      <c r="G40" s="9"/>
    </row>
    <row r="41" spans="1:7">
      <c r="A41" s="6" t="s">
        <v>140</v>
      </c>
      <c r="B41" s="7" t="s">
        <v>141</v>
      </c>
      <c r="C41" s="8">
        <v>7</v>
      </c>
      <c r="D41" s="8">
        <v>3</v>
      </c>
      <c r="E41" s="8">
        <v>3</v>
      </c>
      <c r="F41" s="8">
        <v>3</v>
      </c>
      <c r="G41" s="9"/>
    </row>
    <row r="42" spans="1:7">
      <c r="A42" s="6" t="s">
        <v>142</v>
      </c>
      <c r="B42" s="7" t="s">
        <v>143</v>
      </c>
      <c r="C42" s="8">
        <v>7</v>
      </c>
      <c r="D42" s="8">
        <v>5</v>
      </c>
      <c r="E42" s="8">
        <v>5</v>
      </c>
      <c r="F42" s="8">
        <v>5</v>
      </c>
      <c r="G42" s="9"/>
    </row>
    <row r="43" spans="1:7">
      <c r="A43" s="6" t="s">
        <v>144</v>
      </c>
      <c r="B43" s="7" t="s">
        <v>145</v>
      </c>
      <c r="C43" s="8">
        <v>7</v>
      </c>
      <c r="D43" s="8">
        <v>5</v>
      </c>
      <c r="E43" s="8">
        <v>5</v>
      </c>
      <c r="F43" s="8">
        <v>5</v>
      </c>
      <c r="G43" s="9"/>
    </row>
    <row r="44" spans="1:7">
      <c r="A44" s="6" t="s">
        <v>146</v>
      </c>
      <c r="B44" s="7" t="s">
        <v>147</v>
      </c>
      <c r="C44" s="8">
        <v>7</v>
      </c>
      <c r="D44" s="8">
        <v>5</v>
      </c>
      <c r="E44" s="8">
        <v>5</v>
      </c>
      <c r="F44" s="8">
        <v>5</v>
      </c>
      <c r="G44" s="9"/>
    </row>
    <row r="45" spans="1:7">
      <c r="A45" s="6" t="s">
        <v>148</v>
      </c>
      <c r="B45" s="7" t="s">
        <v>149</v>
      </c>
      <c r="C45" s="8">
        <v>8</v>
      </c>
      <c r="D45" s="8">
        <v>3</v>
      </c>
      <c r="E45" s="8">
        <v>3</v>
      </c>
      <c r="F45" s="8">
        <v>3</v>
      </c>
      <c r="G45" s="9"/>
    </row>
    <row r="46" spans="1:7">
      <c r="A46" s="6" t="s">
        <v>150</v>
      </c>
      <c r="B46" s="7" t="s">
        <v>151</v>
      </c>
      <c r="C46" s="8">
        <v>8</v>
      </c>
      <c r="D46" s="8">
        <v>9</v>
      </c>
      <c r="E46" s="8">
        <v>9</v>
      </c>
      <c r="F46" s="8">
        <v>9</v>
      </c>
      <c r="G46" s="9" t="s">
        <v>152</v>
      </c>
    </row>
    <row r="47" spans="1:7">
      <c r="A47" s="6" t="s">
        <v>153</v>
      </c>
      <c r="B47" s="7" t="s">
        <v>154</v>
      </c>
      <c r="C47" s="8">
        <v>8</v>
      </c>
      <c r="D47" s="8">
        <v>3</v>
      </c>
      <c r="E47" s="8">
        <v>3</v>
      </c>
      <c r="F47" s="8">
        <v>3</v>
      </c>
      <c r="G47" s="9"/>
    </row>
    <row r="48" spans="1:7">
      <c r="A48" s="6" t="s">
        <v>155</v>
      </c>
      <c r="B48" s="7" t="s">
        <v>156</v>
      </c>
      <c r="C48" s="8">
        <v>9</v>
      </c>
      <c r="D48" s="8">
        <v>3</v>
      </c>
      <c r="E48" s="8">
        <v>3</v>
      </c>
      <c r="F48" s="8">
        <v>3</v>
      </c>
      <c r="G48" s="9"/>
    </row>
    <row r="49" spans="1:7">
      <c r="A49" s="6" t="s">
        <v>157</v>
      </c>
      <c r="B49" s="7" t="s">
        <v>158</v>
      </c>
      <c r="C49" s="8">
        <v>9</v>
      </c>
      <c r="D49" s="8">
        <v>5</v>
      </c>
      <c r="E49" s="8">
        <v>5</v>
      </c>
      <c r="F49" s="8">
        <v>5</v>
      </c>
      <c r="G49" s="9"/>
    </row>
    <row r="50" spans="1:7">
      <c r="A50" s="6" t="s">
        <v>159</v>
      </c>
      <c r="B50" s="7" t="s">
        <v>160</v>
      </c>
      <c r="C50" s="8">
        <v>9</v>
      </c>
      <c r="D50" s="8">
        <v>3</v>
      </c>
      <c r="E50" s="8">
        <v>3</v>
      </c>
      <c r="F50" s="8">
        <v>3</v>
      </c>
      <c r="G50" s="9"/>
    </row>
    <row r="51" spans="1:7">
      <c r="A51" s="6" t="s">
        <v>161</v>
      </c>
      <c r="B51" s="7" t="s">
        <v>162</v>
      </c>
      <c r="C51" s="8">
        <v>9</v>
      </c>
      <c r="D51" s="8">
        <v>3</v>
      </c>
      <c r="E51" s="8">
        <v>3</v>
      </c>
      <c r="F51" s="8">
        <v>3</v>
      </c>
      <c r="G51" s="9"/>
    </row>
    <row r="52" spans="1:7">
      <c r="A52" s="6" t="s">
        <v>163</v>
      </c>
      <c r="B52" s="7" t="s">
        <v>164</v>
      </c>
      <c r="C52" s="8">
        <v>12</v>
      </c>
      <c r="D52" s="8">
        <v>9</v>
      </c>
      <c r="E52" s="8">
        <v>9</v>
      </c>
      <c r="F52" s="8">
        <v>9</v>
      </c>
      <c r="G52" s="9"/>
    </row>
    <row r="53" spans="1:7">
      <c r="A53" s="6" t="s">
        <v>165</v>
      </c>
      <c r="B53" s="7" t="s">
        <v>166</v>
      </c>
      <c r="C53" s="8">
        <v>13</v>
      </c>
      <c r="D53" s="8">
        <v>9</v>
      </c>
      <c r="E53" s="8">
        <v>9</v>
      </c>
      <c r="F53" s="8">
        <v>9</v>
      </c>
      <c r="G53" s="9"/>
    </row>
    <row r="54" spans="1:7">
      <c r="A54" s="6" t="s">
        <v>167</v>
      </c>
      <c r="B54" s="7" t="s">
        <v>168</v>
      </c>
      <c r="C54" s="8">
        <v>12</v>
      </c>
      <c r="D54" s="8">
        <v>9</v>
      </c>
      <c r="E54" s="8">
        <v>9</v>
      </c>
      <c r="F54" s="8">
        <v>9</v>
      </c>
      <c r="G54" s="9"/>
    </row>
    <row r="55" spans="1:7">
      <c r="A55" s="6" t="s">
        <v>169</v>
      </c>
      <c r="B55" s="7" t="s">
        <v>170</v>
      </c>
      <c r="C55" s="8">
        <v>12</v>
      </c>
      <c r="D55" s="8">
        <v>6</v>
      </c>
      <c r="E55" s="8">
        <v>6</v>
      </c>
      <c r="F55" s="8">
        <v>6</v>
      </c>
      <c r="G55" s="9"/>
    </row>
    <row r="56" spans="1:7">
      <c r="A56" s="6" t="s">
        <v>171</v>
      </c>
      <c r="B56" s="7" t="s">
        <v>172</v>
      </c>
      <c r="C56" s="8">
        <v>12</v>
      </c>
      <c r="D56" s="8">
        <v>6</v>
      </c>
      <c r="E56" s="8">
        <v>6</v>
      </c>
      <c r="F56" s="8">
        <v>6</v>
      </c>
      <c r="G56" s="9"/>
    </row>
    <row r="57" spans="1:7">
      <c r="A57" s="6" t="s">
        <v>173</v>
      </c>
      <c r="B57" s="7" t="s">
        <v>174</v>
      </c>
      <c r="C57" s="8">
        <v>10</v>
      </c>
      <c r="D57" s="8">
        <v>7</v>
      </c>
      <c r="E57" s="8">
        <v>7</v>
      </c>
      <c r="F57" s="8">
        <v>7</v>
      </c>
      <c r="G57" s="9"/>
    </row>
    <row r="58" spans="1:7">
      <c r="A58" s="6" t="s">
        <v>175</v>
      </c>
      <c r="B58" s="7" t="s">
        <v>176</v>
      </c>
      <c r="C58" s="8">
        <v>10</v>
      </c>
      <c r="D58" s="8">
        <v>7</v>
      </c>
      <c r="E58" s="8">
        <v>7</v>
      </c>
      <c r="F58" s="8">
        <v>7</v>
      </c>
      <c r="G58" s="9"/>
    </row>
    <row r="59" spans="1:7">
      <c r="A59" s="6" t="s">
        <v>177</v>
      </c>
      <c r="B59" s="7" t="s">
        <v>178</v>
      </c>
      <c r="C59" s="8">
        <v>10</v>
      </c>
      <c r="D59" s="8">
        <v>7</v>
      </c>
      <c r="E59" s="8">
        <v>7</v>
      </c>
      <c r="F59" s="8">
        <v>7</v>
      </c>
      <c r="G59" s="9"/>
    </row>
    <row r="60" spans="1:7">
      <c r="A60" s="6" t="s">
        <v>179</v>
      </c>
      <c r="B60" s="7" t="s">
        <v>180</v>
      </c>
      <c r="C60" s="8">
        <v>10</v>
      </c>
      <c r="D60" s="8">
        <v>7</v>
      </c>
      <c r="E60" s="8">
        <v>7</v>
      </c>
      <c r="F60" s="8">
        <v>7</v>
      </c>
      <c r="G60" s="9"/>
    </row>
    <row r="61" spans="1:7">
      <c r="A61" s="6" t="s">
        <v>181</v>
      </c>
      <c r="B61" s="7" t="s">
        <v>182</v>
      </c>
      <c r="C61" s="8">
        <v>10</v>
      </c>
      <c r="D61" s="8">
        <v>7</v>
      </c>
      <c r="E61" s="8">
        <v>7</v>
      </c>
      <c r="F61" s="8">
        <v>7</v>
      </c>
      <c r="G61" s="9"/>
    </row>
    <row r="62" spans="1:7">
      <c r="A62" s="6" t="s">
        <v>183</v>
      </c>
      <c r="B62" s="7" t="s">
        <v>184</v>
      </c>
      <c r="C62" s="8">
        <v>10</v>
      </c>
      <c r="D62" s="8">
        <v>7</v>
      </c>
      <c r="E62" s="8">
        <v>7</v>
      </c>
      <c r="F62" s="8">
        <v>7</v>
      </c>
      <c r="G62" s="9"/>
    </row>
    <row r="63" spans="1:7">
      <c r="A63" s="6" t="s">
        <v>185</v>
      </c>
      <c r="B63" s="7" t="s">
        <v>186</v>
      </c>
      <c r="C63" s="8">
        <v>11</v>
      </c>
      <c r="D63" s="8">
        <v>7</v>
      </c>
      <c r="E63" s="8">
        <v>7</v>
      </c>
      <c r="F63" s="8">
        <v>7</v>
      </c>
      <c r="G63" s="9"/>
    </row>
    <row r="64" spans="1:7">
      <c r="A64" s="6" t="s">
        <v>187</v>
      </c>
      <c r="B64" s="7" t="s">
        <v>188</v>
      </c>
      <c r="C64" s="8">
        <v>11</v>
      </c>
      <c r="D64" s="8">
        <v>7</v>
      </c>
      <c r="E64" s="8">
        <v>7</v>
      </c>
      <c r="F64" s="8">
        <v>7</v>
      </c>
      <c r="G64" s="9"/>
    </row>
    <row r="65" spans="1:7">
      <c r="A65" s="6" t="s">
        <v>189</v>
      </c>
      <c r="B65" s="7" t="s">
        <v>190</v>
      </c>
      <c r="C65" s="8">
        <v>11</v>
      </c>
      <c r="D65" s="8">
        <v>7</v>
      </c>
      <c r="E65" s="8">
        <v>7</v>
      </c>
      <c r="F65" s="8">
        <v>7</v>
      </c>
      <c r="G65" s="9"/>
    </row>
    <row r="66" spans="1:7" ht="22.5">
      <c r="A66" s="6" t="s">
        <v>191</v>
      </c>
      <c r="B66" s="7" t="s">
        <v>192</v>
      </c>
      <c r="C66" s="8">
        <v>10</v>
      </c>
      <c r="D66" s="10" t="s">
        <v>76</v>
      </c>
      <c r="E66" s="10" t="s">
        <v>76</v>
      </c>
      <c r="F66" s="10" t="s">
        <v>76</v>
      </c>
      <c r="G66" s="9" t="s">
        <v>193</v>
      </c>
    </row>
    <row r="67" spans="1:7">
      <c r="A67" s="6" t="s">
        <v>194</v>
      </c>
      <c r="B67" s="7" t="s">
        <v>195</v>
      </c>
      <c r="C67" s="8">
        <v>10</v>
      </c>
      <c r="D67" s="10" t="s">
        <v>76</v>
      </c>
      <c r="E67" s="10" t="s">
        <v>76</v>
      </c>
      <c r="F67" s="10" t="s">
        <v>76</v>
      </c>
      <c r="G67" s="9" t="s">
        <v>196</v>
      </c>
    </row>
    <row r="68" spans="1:7">
      <c r="A68" s="6" t="s">
        <v>197</v>
      </c>
      <c r="B68" s="7" t="s">
        <v>198</v>
      </c>
      <c r="C68" s="8">
        <v>11</v>
      </c>
      <c r="D68" s="8">
        <v>8</v>
      </c>
      <c r="E68" s="8">
        <v>8</v>
      </c>
      <c r="F68" s="10" t="s">
        <v>76</v>
      </c>
      <c r="G68" s="9" t="s">
        <v>199</v>
      </c>
    </row>
    <row r="69" spans="1:7">
      <c r="A69" s="6" t="s">
        <v>200</v>
      </c>
      <c r="B69" s="7" t="s">
        <v>201</v>
      </c>
      <c r="C69" s="8">
        <v>11</v>
      </c>
      <c r="D69" s="8">
        <v>8</v>
      </c>
      <c r="E69" s="8">
        <v>8</v>
      </c>
      <c r="F69" s="10" t="s">
        <v>76</v>
      </c>
      <c r="G69" s="9" t="s">
        <v>199</v>
      </c>
    </row>
    <row r="70" spans="1:7">
      <c r="A70" s="6" t="s">
        <v>202</v>
      </c>
      <c r="B70" s="7" t="s">
        <v>203</v>
      </c>
      <c r="C70" s="8">
        <v>11</v>
      </c>
      <c r="D70" s="8">
        <v>8</v>
      </c>
      <c r="E70" s="8">
        <v>8</v>
      </c>
      <c r="F70" s="10" t="s">
        <v>76</v>
      </c>
      <c r="G70" s="9" t="s">
        <v>204</v>
      </c>
    </row>
    <row r="71" spans="1:7">
      <c r="A71" s="6" t="s">
        <v>205</v>
      </c>
      <c r="B71" s="7" t="s">
        <v>206</v>
      </c>
      <c r="C71" s="8">
        <v>11</v>
      </c>
      <c r="D71" s="10" t="s">
        <v>76</v>
      </c>
      <c r="E71" s="10" t="s">
        <v>76</v>
      </c>
      <c r="F71" s="10" t="s">
        <v>76</v>
      </c>
      <c r="G71" s="9" t="s">
        <v>207</v>
      </c>
    </row>
    <row r="72" spans="1:7">
      <c r="A72" s="6" t="s">
        <v>208</v>
      </c>
      <c r="B72" s="7" t="s">
        <v>209</v>
      </c>
      <c r="C72" s="10" t="s">
        <v>76</v>
      </c>
      <c r="D72" s="10" t="s">
        <v>76</v>
      </c>
      <c r="E72" s="10" t="s">
        <v>76</v>
      </c>
      <c r="F72" s="8">
        <v>8</v>
      </c>
      <c r="G72" s="9" t="s">
        <v>210</v>
      </c>
    </row>
    <row r="73" spans="1:7">
      <c r="A73" s="6" t="s">
        <v>211</v>
      </c>
      <c r="B73" s="7" t="s">
        <v>212</v>
      </c>
      <c r="C73" s="8">
        <v>13</v>
      </c>
      <c r="D73" s="8">
        <v>5</v>
      </c>
      <c r="E73" s="8">
        <v>5</v>
      </c>
      <c r="F73" s="8">
        <v>5</v>
      </c>
      <c r="G73" s="9"/>
    </row>
    <row r="74" spans="1:7">
      <c r="A74" s="6" t="s">
        <v>213</v>
      </c>
      <c r="B74" s="7" t="s">
        <v>214</v>
      </c>
      <c r="C74" s="8">
        <v>13</v>
      </c>
      <c r="D74" s="8">
        <v>5</v>
      </c>
      <c r="E74" s="8">
        <v>5</v>
      </c>
      <c r="F74" s="8">
        <v>5</v>
      </c>
      <c r="G74" s="9"/>
    </row>
    <row r="75" spans="1:7">
      <c r="A75" s="6" t="s">
        <v>215</v>
      </c>
      <c r="B75" s="7" t="s">
        <v>216</v>
      </c>
      <c r="C75" s="8">
        <v>13</v>
      </c>
      <c r="D75" s="8">
        <v>9</v>
      </c>
      <c r="E75" s="8">
        <v>9</v>
      </c>
      <c r="F75" s="8">
        <v>9</v>
      </c>
      <c r="G75" s="9"/>
    </row>
    <row r="76" spans="1:7">
      <c r="A76" s="6" t="s">
        <v>217</v>
      </c>
      <c r="B76" s="7" t="s">
        <v>218</v>
      </c>
      <c r="C76" s="8">
        <v>13</v>
      </c>
      <c r="D76" s="8">
        <v>9</v>
      </c>
      <c r="E76" s="8">
        <v>9</v>
      </c>
      <c r="F76" s="8">
        <v>9</v>
      </c>
      <c r="G76" s="9"/>
    </row>
    <row r="77" spans="1:7">
      <c r="A77" s="6" t="s">
        <v>219</v>
      </c>
      <c r="B77" s="7" t="s">
        <v>220</v>
      </c>
      <c r="C77" s="8">
        <v>13</v>
      </c>
      <c r="D77" s="8">
        <v>9</v>
      </c>
      <c r="E77" s="8">
        <v>9</v>
      </c>
      <c r="F77" s="8">
        <v>9</v>
      </c>
      <c r="G77" s="9"/>
    </row>
    <row r="78" spans="1:7">
      <c r="A78" s="6" t="s">
        <v>221</v>
      </c>
      <c r="B78" s="7" t="s">
        <v>222</v>
      </c>
      <c r="C78" s="8">
        <v>13</v>
      </c>
      <c r="D78" s="8">
        <v>9</v>
      </c>
      <c r="E78" s="8">
        <v>9</v>
      </c>
      <c r="F78" s="8">
        <v>9</v>
      </c>
      <c r="G78" s="9"/>
    </row>
    <row r="79" spans="1:7">
      <c r="A79" s="6" t="s">
        <v>223</v>
      </c>
      <c r="B79" s="7" t="s">
        <v>224</v>
      </c>
      <c r="C79" s="8">
        <v>13</v>
      </c>
      <c r="D79" s="8">
        <v>9</v>
      </c>
      <c r="E79" s="8">
        <v>9</v>
      </c>
      <c r="F79" s="8">
        <v>9</v>
      </c>
      <c r="G79" s="9"/>
    </row>
    <row r="80" spans="1:7">
      <c r="A80" s="6" t="s">
        <v>225</v>
      </c>
      <c r="B80" s="7" t="s">
        <v>226</v>
      </c>
      <c r="C80" s="8">
        <v>14</v>
      </c>
      <c r="D80" s="8">
        <v>9</v>
      </c>
      <c r="E80" s="8">
        <v>9</v>
      </c>
      <c r="F80" s="8">
        <v>9</v>
      </c>
      <c r="G80" s="9"/>
    </row>
    <row r="81" spans="1:7">
      <c r="A81" s="6" t="s">
        <v>227</v>
      </c>
      <c r="B81" s="7" t="s">
        <v>228</v>
      </c>
      <c r="C81" s="8">
        <v>14</v>
      </c>
      <c r="D81" s="8">
        <v>9</v>
      </c>
      <c r="E81" s="8">
        <v>9</v>
      </c>
      <c r="F81" s="8">
        <v>9</v>
      </c>
      <c r="G81" s="9"/>
    </row>
    <row r="82" spans="1:7">
      <c r="A82" s="6" t="s">
        <v>229</v>
      </c>
      <c r="B82" s="7" t="s">
        <v>230</v>
      </c>
      <c r="C82" s="8">
        <v>14</v>
      </c>
      <c r="D82" s="8">
        <v>9</v>
      </c>
      <c r="E82" s="8">
        <v>9</v>
      </c>
      <c r="F82" s="8">
        <v>9</v>
      </c>
      <c r="G82" s="9"/>
    </row>
    <row r="83" spans="1:7">
      <c r="A83" s="6" t="s">
        <v>231</v>
      </c>
      <c r="B83" s="7" t="s">
        <v>232</v>
      </c>
      <c r="C83" s="10" t="s">
        <v>76</v>
      </c>
      <c r="D83" s="8">
        <v>11</v>
      </c>
      <c r="E83" s="10" t="s">
        <v>76</v>
      </c>
      <c r="F83" s="10" t="s">
        <v>76</v>
      </c>
      <c r="G83" s="9" t="s">
        <v>233</v>
      </c>
    </row>
    <row r="84" spans="1:7">
      <c r="A84" s="6" t="s">
        <v>234</v>
      </c>
      <c r="B84" s="7" t="s">
        <v>235</v>
      </c>
      <c r="C84" s="10" t="s">
        <v>76</v>
      </c>
      <c r="D84" s="8">
        <v>11</v>
      </c>
      <c r="E84" s="8">
        <v>11</v>
      </c>
      <c r="F84" s="10" t="s">
        <v>76</v>
      </c>
      <c r="G84" s="9" t="s">
        <v>236</v>
      </c>
    </row>
    <row r="85" spans="1:7">
      <c r="A85" s="6" t="s">
        <v>237</v>
      </c>
      <c r="B85" s="7" t="s">
        <v>238</v>
      </c>
      <c r="C85" s="10" t="s">
        <v>76</v>
      </c>
      <c r="D85" s="8">
        <v>11</v>
      </c>
      <c r="E85" s="8">
        <v>11</v>
      </c>
      <c r="F85" s="10" t="s">
        <v>76</v>
      </c>
      <c r="G85" s="9" t="s">
        <v>236</v>
      </c>
    </row>
  </sheetData>
  <autoFilter ref="A3:G85" xr:uid="{00000000-0009-0000-0000-000001000000}"/>
  <phoneticPr fontId="29" type="noConversion"/>
  <pageMargins left="0.4" right="0.4" top="0.5" bottom="0.5" header="0.5" footer="0.5"/>
  <pageSetup paperSize="9" fitToHeight="0" orientation="landscape"/>
  <headerFooter>
    <oddFooter>&amp;LSOLAS II-2 Reg.9 — 01_격실분류&amp;R&amp;P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22"/>
  <sheetViews>
    <sheetView showGridLines="0" workbookViewId="0">
      <pane ySplit="3" topLeftCell="A4" activePane="bottomLeft" state="frozen"/>
      <selection pane="bottomLeft"/>
    </sheetView>
  </sheetViews>
  <sheetFormatPr defaultRowHeight="16.5"/>
  <cols>
    <col min="1" max="1" width="8" customWidth="1"/>
    <col min="2" max="2" width="34" customWidth="1"/>
    <col min="3" max="4" width="30" customWidth="1"/>
    <col min="5" max="5" width="26" customWidth="1"/>
  </cols>
  <sheetData>
    <row r="1" spans="1:5" ht="21.95" customHeight="1">
      <c r="A1" s="1" t="s">
        <v>239</v>
      </c>
    </row>
    <row r="2" spans="1:5">
      <c r="A2" s="2" t="s">
        <v>240</v>
      </c>
    </row>
    <row r="3" spans="1:5" ht="30" customHeight="1">
      <c r="A3" s="5" t="s">
        <v>241</v>
      </c>
      <c r="B3" s="5" t="s">
        <v>16</v>
      </c>
      <c r="C3" s="5" t="s">
        <v>18</v>
      </c>
      <c r="D3" s="5" t="s">
        <v>20</v>
      </c>
      <c r="E3" s="5" t="s">
        <v>22</v>
      </c>
    </row>
    <row r="4" spans="1:5">
      <c r="A4" s="8" t="s">
        <v>242</v>
      </c>
      <c r="B4" s="6" t="s">
        <v>243</v>
      </c>
      <c r="C4" s="6" t="s">
        <v>243</v>
      </c>
      <c r="D4" s="6" t="s">
        <v>243</v>
      </c>
      <c r="E4" s="6" t="s">
        <v>243</v>
      </c>
    </row>
    <row r="5" spans="1:5">
      <c r="A5" s="8" t="s">
        <v>244</v>
      </c>
      <c r="B5" s="6" t="s">
        <v>245</v>
      </c>
      <c r="C5" s="6" t="s">
        <v>89</v>
      </c>
      <c r="D5" s="6" t="s">
        <v>89</v>
      </c>
      <c r="E5" s="6" t="s">
        <v>89</v>
      </c>
    </row>
    <row r="6" spans="1:5">
      <c r="A6" s="8" t="s">
        <v>246</v>
      </c>
      <c r="B6" s="6" t="s">
        <v>89</v>
      </c>
      <c r="C6" s="6" t="s">
        <v>247</v>
      </c>
      <c r="D6" s="6" t="s">
        <v>247</v>
      </c>
      <c r="E6" s="6" t="s">
        <v>247</v>
      </c>
    </row>
    <row r="7" spans="1:5">
      <c r="A7" s="8" t="s">
        <v>248</v>
      </c>
      <c r="B7" s="6" t="s">
        <v>249</v>
      </c>
      <c r="C7" s="6" t="s">
        <v>245</v>
      </c>
      <c r="D7" s="6" t="s">
        <v>245</v>
      </c>
      <c r="E7" s="6" t="s">
        <v>245</v>
      </c>
    </row>
    <row r="8" spans="1:5">
      <c r="A8" s="8" t="s">
        <v>250</v>
      </c>
      <c r="B8" s="6" t="s">
        <v>104</v>
      </c>
      <c r="C8" s="6" t="s">
        <v>251</v>
      </c>
      <c r="D8" s="6" t="s">
        <v>251</v>
      </c>
      <c r="E8" s="6" t="s">
        <v>251</v>
      </c>
    </row>
    <row r="9" spans="1:5">
      <c r="A9" s="8" t="s">
        <v>252</v>
      </c>
      <c r="B9" s="6" t="s">
        <v>253</v>
      </c>
      <c r="C9" s="6" t="s">
        <v>254</v>
      </c>
      <c r="D9" s="6" t="s">
        <v>254</v>
      </c>
      <c r="E9" s="6" t="s">
        <v>254</v>
      </c>
    </row>
    <row r="10" spans="1:5">
      <c r="A10" s="8" t="s">
        <v>255</v>
      </c>
      <c r="B10" s="6" t="s">
        <v>256</v>
      </c>
      <c r="C10" s="6" t="s">
        <v>257</v>
      </c>
      <c r="D10" s="6" t="s">
        <v>257</v>
      </c>
      <c r="E10" s="6" t="s">
        <v>257</v>
      </c>
    </row>
    <row r="11" spans="1:5">
      <c r="A11" s="8" t="s">
        <v>258</v>
      </c>
      <c r="B11" s="6" t="s">
        <v>259</v>
      </c>
      <c r="C11" s="6" t="s">
        <v>260</v>
      </c>
      <c r="D11" s="6" t="s">
        <v>260</v>
      </c>
      <c r="E11" s="6" t="s">
        <v>208</v>
      </c>
    </row>
    <row r="12" spans="1:5">
      <c r="A12" s="8" t="s">
        <v>261</v>
      </c>
      <c r="B12" s="6" t="s">
        <v>262</v>
      </c>
      <c r="C12" s="6" t="s">
        <v>263</v>
      </c>
      <c r="D12" s="6" t="s">
        <v>263</v>
      </c>
      <c r="E12" s="6" t="s">
        <v>263</v>
      </c>
    </row>
    <row r="13" spans="1:5">
      <c r="A13" s="8" t="s">
        <v>264</v>
      </c>
      <c r="B13" s="6" t="s">
        <v>265</v>
      </c>
      <c r="C13" s="6" t="s">
        <v>104</v>
      </c>
      <c r="D13" s="6" t="s">
        <v>104</v>
      </c>
      <c r="E13" s="6" t="s">
        <v>104</v>
      </c>
    </row>
    <row r="14" spans="1:5">
      <c r="A14" s="8" t="s">
        <v>266</v>
      </c>
      <c r="B14" s="6" t="s">
        <v>267</v>
      </c>
      <c r="C14" s="6" t="s">
        <v>268</v>
      </c>
      <c r="D14" s="6" t="s">
        <v>269</v>
      </c>
      <c r="E14" s="11" t="s">
        <v>76</v>
      </c>
    </row>
    <row r="15" spans="1:5">
      <c r="A15" s="8" t="s">
        <v>270</v>
      </c>
      <c r="B15" s="6" t="s">
        <v>271</v>
      </c>
      <c r="C15" s="11" t="s">
        <v>76</v>
      </c>
      <c r="D15" s="11" t="s">
        <v>76</v>
      </c>
      <c r="E15" s="11" t="s">
        <v>76</v>
      </c>
    </row>
    <row r="16" spans="1:5">
      <c r="A16" s="8" t="s">
        <v>272</v>
      </c>
      <c r="B16" s="6" t="s">
        <v>273</v>
      </c>
      <c r="C16" s="11" t="s">
        <v>76</v>
      </c>
      <c r="D16" s="11" t="s">
        <v>76</v>
      </c>
      <c r="E16" s="11" t="s">
        <v>76</v>
      </c>
    </row>
    <row r="17" spans="1:5">
      <c r="A17" s="8" t="s">
        <v>274</v>
      </c>
      <c r="B17" s="6" t="s">
        <v>275</v>
      </c>
      <c r="C17" s="11" t="s">
        <v>76</v>
      </c>
      <c r="D17" s="11" t="s">
        <v>76</v>
      </c>
      <c r="E17" s="11" t="s">
        <v>76</v>
      </c>
    </row>
    <row r="20" spans="1:5">
      <c r="A20" s="40" t="s">
        <v>276</v>
      </c>
      <c r="B20" s="39"/>
      <c r="C20" s="39"/>
      <c r="D20" s="39"/>
      <c r="E20" s="39"/>
    </row>
    <row r="21" spans="1:5">
      <c r="A21" s="39"/>
      <c r="B21" s="39"/>
      <c r="C21" s="39"/>
      <c r="D21" s="39"/>
      <c r="E21" s="39"/>
    </row>
    <row r="22" spans="1:5">
      <c r="A22" s="39"/>
      <c r="B22" s="39"/>
      <c r="C22" s="39"/>
      <c r="D22" s="39"/>
      <c r="E22" s="39"/>
    </row>
  </sheetData>
  <sheetProtection sheet="1" objects="1" scenarios="1"/>
  <mergeCells count="1">
    <mergeCell ref="A20:E22"/>
  </mergeCells>
  <phoneticPr fontId="29" type="noConversion"/>
  <pageMargins left="0.4" right="0.4" top="0.5" bottom="0.5" header="0.5" footer="0.5"/>
  <pageSetup paperSize="9" fitToHeight="0" orientation="landscape"/>
  <headerFooter>
    <oddFooter>&amp;LSOLAS II-2 Reg.9 — 02_범주정의&amp;R&amp;P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35"/>
  <sheetViews>
    <sheetView showGridLines="0" workbookViewId="0"/>
  </sheetViews>
  <sheetFormatPr defaultRowHeight="16.5"/>
  <cols>
    <col min="1" max="1" width="22" customWidth="1"/>
    <col min="2" max="2" width="26" customWidth="1"/>
    <col min="3" max="3" width="52" customWidth="1"/>
    <col min="4" max="4" width="46" customWidth="1"/>
    <col min="5" max="5" width="3" customWidth="1"/>
    <col min="6" max="6" width="16" customWidth="1"/>
    <col min="7" max="7" width="46" customWidth="1"/>
  </cols>
  <sheetData>
    <row r="1" spans="1:7" ht="21.95" customHeight="1">
      <c r="A1" s="1" t="s">
        <v>277</v>
      </c>
    </row>
    <row r="2" spans="1:7">
      <c r="A2" s="2" t="s">
        <v>278</v>
      </c>
    </row>
    <row r="3" spans="1:7">
      <c r="A3" s="38" t="s">
        <v>279</v>
      </c>
      <c r="B3" s="39"/>
      <c r="C3" s="39"/>
      <c r="D3" s="39"/>
      <c r="F3" s="43" t="s">
        <v>280</v>
      </c>
      <c r="G3" s="39"/>
    </row>
    <row r="4" spans="1:7" ht="21.95" customHeight="1">
      <c r="A4" s="12" t="s">
        <v>281</v>
      </c>
      <c r="B4" s="13" t="s">
        <v>435</v>
      </c>
      <c r="D4" s="14" t="s">
        <v>282</v>
      </c>
      <c r="F4" s="15" t="s">
        <v>283</v>
      </c>
      <c r="G4" s="16">
        <f>MATCH($B$4,'05_참조'!$A$4:$A$7,0)</f>
        <v>4</v>
      </c>
    </row>
    <row r="5" spans="1:7" ht="21.95" customHeight="1">
      <c r="A5" s="12" t="s">
        <v>284</v>
      </c>
      <c r="B5" s="13" t="s">
        <v>437</v>
      </c>
      <c r="D5" s="14" t="s">
        <v>286</v>
      </c>
      <c r="F5" s="15" t="s">
        <v>287</v>
      </c>
      <c r="G5" s="16">
        <f>MATCH($B$5,'05_참조'!$F$4:$F$5,0)</f>
        <v>2</v>
      </c>
    </row>
    <row r="6" spans="1:7" ht="21.95" customHeight="1">
      <c r="A6" s="12" t="s">
        <v>288</v>
      </c>
      <c r="B6" s="13" t="s">
        <v>434</v>
      </c>
      <c r="D6" s="14" t="s">
        <v>289</v>
      </c>
      <c r="F6" s="15" t="s">
        <v>290</v>
      </c>
      <c r="G6" s="16" t="str">
        <f>IF($G$5=1,INDEX('05_참조'!$B$4:$B$7,$G$4),INDEX('05_참조'!$C$4:$C$7,$G$4))</f>
        <v>T9.8</v>
      </c>
    </row>
    <row r="7" spans="1:7" ht="21.95" customHeight="1">
      <c r="A7" s="12" t="s">
        <v>291</v>
      </c>
      <c r="B7" s="13" t="s">
        <v>436</v>
      </c>
      <c r="F7" s="15" t="s">
        <v>292</v>
      </c>
      <c r="G7" s="16" t="str">
        <f ca="1">IF(OR(NOT(ISNUMBER($B$11)),NOT(ISNUMBER($B$12))),"",IF($G$5=1,INDEX(INDIRECT("'"&amp;$G$6&amp;"'!$C$5:$P$18"),MIN($B$11,$B$12),MAX($B$11,$B$12)),INDEX(INDIRECT("'"&amp;$G$6&amp;"'!$C$5:$P$18"),$B$11,$B$12)))</f>
        <v>A-60</v>
      </c>
    </row>
    <row r="8" spans="1:7" ht="21.95" customHeight="1">
      <c r="A8" s="12" t="s">
        <v>293</v>
      </c>
      <c r="B8" s="13" t="s">
        <v>294</v>
      </c>
      <c r="D8" s="14" t="s">
        <v>295</v>
      </c>
      <c r="F8" s="15" t="s">
        <v>296</v>
      </c>
      <c r="G8" s="16" t="str">
        <f ca="1">IF($B$15="","",TRIM(LEFT($B$15&amp;" ",FIND(" ",$B$15&amp;" ")-1)))</f>
        <v>A-60</v>
      </c>
    </row>
    <row r="10" spans="1:7">
      <c r="A10" s="38" t="s">
        <v>297</v>
      </c>
      <c r="B10" s="39"/>
      <c r="C10" s="39"/>
      <c r="D10" s="39"/>
    </row>
    <row r="11" spans="1:7">
      <c r="A11" s="12" t="s">
        <v>298</v>
      </c>
      <c r="B11" s="17">
        <f>IF($B$6="","",IFERROR(INDEX('01_격실분류'!$C$4:$F$300,MATCH($B$6,'01_격실분류'!$A$4:$A$300,0),$G$4),"찾을 수 없음"))</f>
        <v>9</v>
      </c>
      <c r="C11" s="18" t="str">
        <f>IF($B$6="","격실을 선택하십시오",IF($B$11="찾을 수 없음","격실표에 없는 이름입니다 — 01_격실분류에 추가하십시오",IF(ISNUMBER($B$11),INDEX('02_범주정의'!$B$4:$E$17,$B$11,$G$4),"이 선종 표에는 대응 범주 없음 — 01_격실분류 비고 확인")))</f>
        <v>업무구역 (고위험)</v>
      </c>
    </row>
    <row r="12" spans="1:7">
      <c r="A12" s="12" t="s">
        <v>299</v>
      </c>
      <c r="B12" s="17">
        <f>IF($B$7="","",IFERROR(INDEX('01_격실분류'!$C$4:$F$300,MATCH($B$7,'01_격실분류'!$A$4:$A$300,0),$G$4),"찾을 수 없음"))</f>
        <v>6</v>
      </c>
      <c r="C12" s="18" t="str">
        <f>IF($B$7="","격실을 선택하십시오",IF($B$12="찾을 수 없음","격실표에 없는 이름입니다 — 01_격실분류에 추가하십시오",IF(ISNUMBER($B$12),INDEX('02_범주정의'!$B$4:$E$17,$B$12,$G$4),"이 선종 표에는 대응 범주 없음 — 01_격실분류 비고 확인")))</f>
        <v>A류 기관구역</v>
      </c>
    </row>
    <row r="13" spans="1:7">
      <c r="A13" s="12" t="s">
        <v>300</v>
      </c>
      <c r="B13" s="17" t="str">
        <f>$G$6</f>
        <v>T9.8</v>
      </c>
      <c r="C13" s="18" t="str">
        <f>IF($G$5=1,"격벽 표 — 대칭","갑판 표 — 행이 아래 구역, 열이 위 구역")</f>
        <v>갑판 표 — 행이 아래 구역, 열이 위 구역</v>
      </c>
    </row>
    <row r="15" spans="1:7" ht="39.950000000000003" customHeight="1">
      <c r="A15" s="12" t="s">
        <v>301</v>
      </c>
      <c r="B15" s="19" t="str">
        <f ca="1">IF(OR($B$6="",$B$7=""),"격실 두 곳을 모두 선택하십시오",IF(OR($B$11="찾을 수 없음",$B$12="찾을 수 없음"),"격실표에 없는 이름입니다 — 01_격실분류에 추가한 뒤 다시 조회하십시오",IF(OR(NOT(ISNUMBER($B$11)),NOT(ISNUMBER($B$12))),"이 선종 표에는 대응 범주가 없습니다 — 01_격실분류 비고 및 별도 조항 확인",IF(ISNUMBER(FIND(" / ",$G$7)),IF($B$8="두 번째 값",TRIM(MID($G$7,FIND(" / ",$G$7)+3,60)),TRIM(LEFT($G$7,FIND(" / ",$G$7)-1))),$G$7))))</f>
        <v>A-60</v>
      </c>
    </row>
    <row r="16" spans="1:7">
      <c r="A16" s="12" t="s">
        <v>302</v>
      </c>
      <c r="B16" s="44" t="str">
        <f ca="1">IFERROR(INDEX('05_참조'!$K$4:$K$12,MATCH($G$8,'05_참조'!$J$4:$J$12,0)),"")</f>
        <v>강재 구획 + 불연 단열. 1시간 화염·연기 차단, 단열 60분.</v>
      </c>
      <c r="C16" s="39"/>
      <c r="D16" s="39"/>
    </row>
    <row r="19" spans="1:7">
      <c r="A19" s="41" t="s">
        <v>303</v>
      </c>
      <c r="B19" s="39"/>
      <c r="C19" s="39"/>
      <c r="D19" s="39"/>
      <c r="E19" s="39"/>
      <c r="F19" s="39"/>
      <c r="G19" s="39"/>
    </row>
    <row r="20" spans="1:7">
      <c r="A20" s="42" t="s">
        <v>304</v>
      </c>
      <c r="B20" s="39"/>
      <c r="C20" s="39"/>
      <c r="D20" s="39"/>
      <c r="E20" s="39"/>
      <c r="F20" s="39"/>
      <c r="G20" s="39"/>
    </row>
    <row r="21" spans="1:7">
      <c r="A21" s="42" t="s">
        <v>305</v>
      </c>
      <c r="B21" s="39"/>
      <c r="C21" s="39"/>
      <c r="D21" s="39"/>
      <c r="E21" s="39"/>
      <c r="F21" s="39"/>
      <c r="G21" s="39"/>
    </row>
    <row r="22" spans="1:7">
      <c r="A22" s="42" t="s">
        <v>306</v>
      </c>
      <c r="B22" s="39"/>
      <c r="C22" s="39"/>
      <c r="D22" s="39"/>
      <c r="E22" s="39"/>
      <c r="F22" s="39"/>
      <c r="G22" s="39"/>
    </row>
    <row r="23" spans="1:7">
      <c r="A23" s="42" t="s">
        <v>307</v>
      </c>
      <c r="B23" s="39"/>
      <c r="C23" s="39"/>
      <c r="D23" s="39"/>
      <c r="E23" s="39"/>
      <c r="F23" s="39"/>
      <c r="G23" s="39"/>
    </row>
    <row r="24" spans="1:7">
      <c r="A24" s="42" t="s">
        <v>308</v>
      </c>
      <c r="B24" s="39"/>
      <c r="C24" s="39"/>
      <c r="D24" s="39"/>
      <c r="E24" s="39"/>
      <c r="F24" s="39"/>
      <c r="G24" s="39"/>
    </row>
    <row r="25" spans="1:7">
      <c r="A25" s="42" t="s">
        <v>309</v>
      </c>
      <c r="B25" s="39"/>
      <c r="C25" s="39"/>
      <c r="D25" s="39"/>
      <c r="E25" s="39"/>
      <c r="F25" s="39"/>
      <c r="G25" s="39"/>
    </row>
    <row r="26" spans="1:7">
      <c r="A26" s="42"/>
      <c r="B26" s="39"/>
      <c r="C26" s="39"/>
      <c r="D26" s="39"/>
      <c r="E26" s="39"/>
      <c r="F26" s="39"/>
      <c r="G26" s="39"/>
    </row>
    <row r="27" spans="1:7">
      <c r="A27" s="41" t="s">
        <v>310</v>
      </c>
      <c r="B27" s="39"/>
      <c r="C27" s="39"/>
      <c r="D27" s="39"/>
      <c r="E27" s="39"/>
      <c r="F27" s="39"/>
      <c r="G27" s="39"/>
    </row>
    <row r="28" spans="1:7">
      <c r="A28" s="42" t="s">
        <v>311</v>
      </c>
      <c r="B28" s="39"/>
      <c r="C28" s="39"/>
      <c r="D28" s="39"/>
      <c r="E28" s="39"/>
      <c r="F28" s="39"/>
      <c r="G28" s="39"/>
    </row>
    <row r="29" spans="1:7">
      <c r="A29" s="42" t="s">
        <v>312</v>
      </c>
      <c r="B29" s="39"/>
      <c r="C29" s="39"/>
      <c r="D29" s="39"/>
      <c r="E29" s="39"/>
      <c r="F29" s="39"/>
      <c r="G29" s="39"/>
    </row>
    <row r="30" spans="1:7">
      <c r="A30" s="42" t="s">
        <v>313</v>
      </c>
      <c r="B30" s="39"/>
      <c r="C30" s="39"/>
      <c r="D30" s="39"/>
      <c r="E30" s="39"/>
      <c r="F30" s="39"/>
      <c r="G30" s="39"/>
    </row>
    <row r="31" spans="1:7">
      <c r="A31" s="42" t="s">
        <v>314</v>
      </c>
      <c r="B31" s="39"/>
      <c r="C31" s="39"/>
      <c r="D31" s="39"/>
      <c r="E31" s="39"/>
      <c r="F31" s="39"/>
      <c r="G31" s="39"/>
    </row>
    <row r="32" spans="1:7">
      <c r="A32" s="42" t="s">
        <v>315</v>
      </c>
      <c r="B32" s="39"/>
      <c r="C32" s="39"/>
      <c r="D32" s="39"/>
      <c r="E32" s="39"/>
      <c r="F32" s="39"/>
      <c r="G32" s="39"/>
    </row>
    <row r="33" spans="1:7">
      <c r="A33" s="42" t="s">
        <v>316</v>
      </c>
      <c r="B33" s="39"/>
      <c r="C33" s="39"/>
      <c r="D33" s="39"/>
      <c r="E33" s="39"/>
      <c r="F33" s="39"/>
      <c r="G33" s="39"/>
    </row>
    <row r="34" spans="1:7">
      <c r="A34" s="42" t="s">
        <v>317</v>
      </c>
      <c r="B34" s="39"/>
      <c r="C34" s="39"/>
      <c r="D34" s="39"/>
      <c r="E34" s="39"/>
      <c r="F34" s="39"/>
      <c r="G34" s="39"/>
    </row>
    <row r="35" spans="1:7">
      <c r="A35" s="42" t="s">
        <v>318</v>
      </c>
      <c r="B35" s="39"/>
      <c r="C35" s="39"/>
      <c r="D35" s="39"/>
      <c r="E35" s="39"/>
      <c r="F35" s="39"/>
      <c r="G35" s="39"/>
    </row>
  </sheetData>
  <sheetProtection sheet="1" objects="1" scenarios="1"/>
  <mergeCells count="21">
    <mergeCell ref="A32:G32"/>
    <mergeCell ref="A22:G22"/>
    <mergeCell ref="A35:G35"/>
    <mergeCell ref="A20:G20"/>
    <mergeCell ref="A29:G29"/>
    <mergeCell ref="A34:G34"/>
    <mergeCell ref="A33:G33"/>
    <mergeCell ref="A10:D10"/>
    <mergeCell ref="A19:G19"/>
    <mergeCell ref="A28:G28"/>
    <mergeCell ref="F3:G3"/>
    <mergeCell ref="A31:G31"/>
    <mergeCell ref="A24:G24"/>
    <mergeCell ref="A30:G30"/>
    <mergeCell ref="A25:G25"/>
    <mergeCell ref="B16:D16"/>
    <mergeCell ref="A27:G27"/>
    <mergeCell ref="A21:G21"/>
    <mergeCell ref="A3:D3"/>
    <mergeCell ref="A26:G26"/>
    <mergeCell ref="A23:G23"/>
  </mergeCells>
  <phoneticPr fontId="29" type="noConversion"/>
  <dataValidations count="1">
    <dataValidation type="list" sqref="B6:B7" xr:uid="{00000000-0002-0000-0300-000002000000}">
      <formula1>격실목록</formula1>
    </dataValidation>
  </dataValidations>
  <pageMargins left="0.4" right="0.4" top="0.5" bottom="0.5" header="0.5" footer="0.5"/>
  <pageSetup paperSize="9" fitToHeight="0" orientation="portrait"/>
  <headerFooter>
    <oddFooter>&amp;LSOLAS II-2 Reg.9 — 03_조회&amp;R&amp;P / &amp;N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300-000000000000}">
          <x14:formula1>
            <xm:f>'05_참조'!$A$4:$A$7</xm:f>
          </x14:formula1>
          <xm:sqref>B4</xm:sqref>
        </x14:dataValidation>
        <x14:dataValidation type="list" xr:uid="{00000000-0002-0000-0300-000001000000}">
          <x14:formula1>
            <xm:f>'05_참조'!$F$4:$F$5</xm:f>
          </x14:formula1>
          <xm:sqref>B5</xm:sqref>
        </x14:dataValidation>
        <x14:dataValidation type="list" xr:uid="{00000000-0002-0000-0300-000004000000}">
          <x14:formula1>
            <xm:f>'05_참조'!$H$4:$H$5</xm:f>
          </x14:formula1>
          <xm:sqref>B8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20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6.5"/>
  <cols>
    <col min="1" max="1" width="6" customWidth="1"/>
    <col min="2" max="2" width="30" customWidth="1"/>
    <col min="3" max="16" width="13" customWidth="1"/>
  </cols>
  <sheetData>
    <row r="1" spans="1:16" ht="21.95" customHeight="1">
      <c r="A1" s="1" t="s">
        <v>319</v>
      </c>
    </row>
    <row r="2" spans="1:16">
      <c r="A2" s="2" t="s">
        <v>320</v>
      </c>
    </row>
    <row r="4" spans="1:16" ht="26.1" customHeight="1">
      <c r="A4" s="20" t="s">
        <v>241</v>
      </c>
      <c r="B4" s="20" t="s">
        <v>321</v>
      </c>
      <c r="C4" s="20" t="s">
        <v>242</v>
      </c>
      <c r="D4" s="20" t="s">
        <v>244</v>
      </c>
      <c r="E4" s="20" t="s">
        <v>246</v>
      </c>
      <c r="F4" s="20" t="s">
        <v>248</v>
      </c>
      <c r="G4" s="20" t="s">
        <v>250</v>
      </c>
      <c r="H4" s="20" t="s">
        <v>252</v>
      </c>
      <c r="I4" s="20" t="s">
        <v>255</v>
      </c>
      <c r="J4" s="20" t="s">
        <v>258</v>
      </c>
      <c r="K4" s="20" t="s">
        <v>261</v>
      </c>
      <c r="L4" s="20" t="s">
        <v>264</v>
      </c>
      <c r="M4" s="20" t="s">
        <v>266</v>
      </c>
      <c r="N4" s="20" t="s">
        <v>270</v>
      </c>
      <c r="O4" s="20" t="s">
        <v>272</v>
      </c>
      <c r="P4" s="20" t="s">
        <v>274</v>
      </c>
    </row>
    <row r="5" spans="1:16" ht="26.1" customHeight="1">
      <c r="A5" s="21" t="s">
        <v>242</v>
      </c>
      <c r="B5" s="22" t="s">
        <v>243</v>
      </c>
      <c r="C5" s="23" t="s">
        <v>322</v>
      </c>
      <c r="D5" s="24" t="s">
        <v>323</v>
      </c>
      <c r="E5" s="24" t="s">
        <v>323</v>
      </c>
      <c r="F5" s="24" t="s">
        <v>323</v>
      </c>
      <c r="G5" s="24" t="s">
        <v>323</v>
      </c>
      <c r="H5" s="25" t="s">
        <v>324</v>
      </c>
      <c r="I5" s="25" t="s">
        <v>324</v>
      </c>
      <c r="J5" s="25" t="s">
        <v>324</v>
      </c>
      <c r="K5" s="24" t="s">
        <v>323</v>
      </c>
      <c r="L5" s="24" t="s">
        <v>323</v>
      </c>
      <c r="M5" s="25" t="s">
        <v>324</v>
      </c>
      <c r="N5" s="25" t="s">
        <v>324</v>
      </c>
      <c r="O5" s="25" t="s">
        <v>324</v>
      </c>
      <c r="P5" s="25" t="s">
        <v>324</v>
      </c>
    </row>
    <row r="6" spans="1:16" ht="26.1" customHeight="1">
      <c r="A6" s="21" t="s">
        <v>244</v>
      </c>
      <c r="B6" s="22" t="s">
        <v>245</v>
      </c>
      <c r="C6" s="26"/>
      <c r="D6" s="24" t="s">
        <v>325</v>
      </c>
      <c r="E6" s="24" t="s">
        <v>323</v>
      </c>
      <c r="F6" s="24" t="s">
        <v>323</v>
      </c>
      <c r="G6" s="24" t="s">
        <v>323</v>
      </c>
      <c r="H6" s="24" t="s">
        <v>323</v>
      </c>
      <c r="I6" s="27" t="s">
        <v>326</v>
      </c>
      <c r="J6" s="27" t="s">
        <v>326</v>
      </c>
      <c r="K6" s="24" t="s">
        <v>327</v>
      </c>
      <c r="L6" s="24" t="s">
        <v>323</v>
      </c>
      <c r="M6" s="27" t="s">
        <v>326</v>
      </c>
      <c r="N6" s="28" t="s">
        <v>328</v>
      </c>
      <c r="O6" s="27" t="s">
        <v>326</v>
      </c>
      <c r="P6" s="28" t="s">
        <v>328</v>
      </c>
    </row>
    <row r="7" spans="1:16" ht="26.1" customHeight="1">
      <c r="A7" s="21" t="s">
        <v>246</v>
      </c>
      <c r="B7" s="22" t="s">
        <v>89</v>
      </c>
      <c r="C7" s="26"/>
      <c r="D7" s="26"/>
      <c r="E7" s="29" t="s">
        <v>329</v>
      </c>
      <c r="F7" s="25" t="s">
        <v>324</v>
      </c>
      <c r="G7" s="24" t="s">
        <v>323</v>
      </c>
      <c r="H7" s="29" t="s">
        <v>329</v>
      </c>
      <c r="I7" s="29" t="s">
        <v>329</v>
      </c>
      <c r="J7" s="29" t="s">
        <v>329</v>
      </c>
      <c r="K7" s="29" t="s">
        <v>329</v>
      </c>
      <c r="L7" s="24" t="s">
        <v>323</v>
      </c>
      <c r="M7" s="27" t="s">
        <v>326</v>
      </c>
      <c r="N7" s="28" t="s">
        <v>328</v>
      </c>
      <c r="O7" s="24" t="s">
        <v>323</v>
      </c>
      <c r="P7" s="28" t="s">
        <v>328</v>
      </c>
    </row>
    <row r="8" spans="1:16" ht="26.1" customHeight="1">
      <c r="A8" s="21" t="s">
        <v>248</v>
      </c>
      <c r="B8" s="22" t="s">
        <v>249</v>
      </c>
      <c r="C8" s="26"/>
      <c r="D8" s="26"/>
      <c r="E8" s="26"/>
      <c r="F8" s="30" t="s">
        <v>330</v>
      </c>
      <c r="G8" s="24" t="s">
        <v>323</v>
      </c>
      <c r="H8" s="25" t="s">
        <v>331</v>
      </c>
      <c r="I8" s="25" t="s">
        <v>331</v>
      </c>
      <c r="J8" s="25" t="s">
        <v>331</v>
      </c>
      <c r="K8" s="24" t="s">
        <v>332</v>
      </c>
      <c r="L8" s="24" t="s">
        <v>323</v>
      </c>
      <c r="M8" s="25" t="s">
        <v>333</v>
      </c>
      <c r="N8" s="25" t="s">
        <v>333</v>
      </c>
      <c r="O8" s="25" t="s">
        <v>333</v>
      </c>
      <c r="P8" s="25" t="s">
        <v>333</v>
      </c>
    </row>
    <row r="9" spans="1:16" ht="26.1" customHeight="1">
      <c r="A9" s="21" t="s">
        <v>250</v>
      </c>
      <c r="B9" s="22" t="s">
        <v>104</v>
      </c>
      <c r="C9" s="26"/>
      <c r="D9" s="26"/>
      <c r="E9" s="26"/>
      <c r="F9" s="26"/>
      <c r="G9" s="30" t="s">
        <v>330</v>
      </c>
      <c r="H9" s="24" t="s">
        <v>323</v>
      </c>
      <c r="I9" s="24" t="s">
        <v>323</v>
      </c>
      <c r="J9" s="24" t="s">
        <v>323</v>
      </c>
      <c r="K9" s="24" t="s">
        <v>323</v>
      </c>
      <c r="L9" s="24" t="s">
        <v>323</v>
      </c>
      <c r="M9" s="24" t="s">
        <v>323</v>
      </c>
      <c r="N9" s="24" t="s">
        <v>323</v>
      </c>
      <c r="O9" s="24" t="s">
        <v>323</v>
      </c>
      <c r="P9" s="24" t="s">
        <v>323</v>
      </c>
    </row>
    <row r="10" spans="1:16" ht="26.1" customHeight="1">
      <c r="A10" s="21" t="s">
        <v>252</v>
      </c>
      <c r="B10" s="22" t="s">
        <v>253</v>
      </c>
      <c r="C10" s="26"/>
      <c r="D10" s="26"/>
      <c r="E10" s="26"/>
      <c r="F10" s="26"/>
      <c r="G10" s="26"/>
      <c r="H10" s="23" t="s">
        <v>334</v>
      </c>
      <c r="I10" s="23" t="s">
        <v>334</v>
      </c>
      <c r="J10" s="23" t="s">
        <v>334</v>
      </c>
      <c r="K10" s="31" t="s">
        <v>335</v>
      </c>
      <c r="L10" s="24" t="s">
        <v>323</v>
      </c>
      <c r="M10" s="24" t="s">
        <v>323</v>
      </c>
      <c r="N10" s="28" t="s">
        <v>328</v>
      </c>
      <c r="O10" s="24" t="s">
        <v>323</v>
      </c>
      <c r="P10" s="28" t="s">
        <v>328</v>
      </c>
    </row>
    <row r="11" spans="1:16" ht="26.1" customHeight="1">
      <c r="A11" s="21" t="s">
        <v>255</v>
      </c>
      <c r="B11" s="22" t="s">
        <v>256</v>
      </c>
      <c r="C11" s="26"/>
      <c r="D11" s="26"/>
      <c r="E11" s="26"/>
      <c r="F11" s="26"/>
      <c r="G11" s="26"/>
      <c r="H11" s="26"/>
      <c r="I11" s="23" t="s">
        <v>334</v>
      </c>
      <c r="J11" s="23" t="s">
        <v>334</v>
      </c>
      <c r="K11" s="31" t="s">
        <v>335</v>
      </c>
      <c r="L11" s="24" t="s">
        <v>323</v>
      </c>
      <c r="M11" s="27" t="s">
        <v>326</v>
      </c>
      <c r="N11" s="25" t="s">
        <v>324</v>
      </c>
      <c r="O11" s="27" t="s">
        <v>326</v>
      </c>
      <c r="P11" s="25" t="s">
        <v>324</v>
      </c>
    </row>
    <row r="12" spans="1:16" ht="26.1" customHeight="1">
      <c r="A12" s="21" t="s">
        <v>258</v>
      </c>
      <c r="B12" s="22" t="s">
        <v>259</v>
      </c>
      <c r="C12" s="26"/>
      <c r="D12" s="26"/>
      <c r="E12" s="26"/>
      <c r="F12" s="26"/>
      <c r="G12" s="26"/>
      <c r="H12" s="26"/>
      <c r="I12" s="26"/>
      <c r="J12" s="23" t="s">
        <v>334</v>
      </c>
      <c r="K12" s="31" t="s">
        <v>335</v>
      </c>
      <c r="L12" s="24" t="s">
        <v>323</v>
      </c>
      <c r="M12" s="28" t="s">
        <v>328</v>
      </c>
      <c r="N12" s="25" t="s">
        <v>324</v>
      </c>
      <c r="O12" s="27" t="s">
        <v>326</v>
      </c>
      <c r="P12" s="25" t="s">
        <v>324</v>
      </c>
    </row>
    <row r="13" spans="1:16" ht="26.1" customHeight="1">
      <c r="A13" s="21" t="s">
        <v>261</v>
      </c>
      <c r="B13" s="22" t="s">
        <v>262</v>
      </c>
      <c r="C13" s="26"/>
      <c r="D13" s="26"/>
      <c r="E13" s="26"/>
      <c r="F13" s="26"/>
      <c r="G13" s="26"/>
      <c r="H13" s="26"/>
      <c r="I13" s="26"/>
      <c r="J13" s="26"/>
      <c r="K13" s="31" t="s">
        <v>335</v>
      </c>
      <c r="L13" s="24" t="s">
        <v>323</v>
      </c>
      <c r="M13" s="24" t="s">
        <v>323</v>
      </c>
      <c r="N13" s="24" t="s">
        <v>323</v>
      </c>
      <c r="O13" s="24" t="s">
        <v>323</v>
      </c>
      <c r="P13" s="24" t="s">
        <v>323</v>
      </c>
    </row>
    <row r="14" spans="1:16" ht="26.1" customHeight="1">
      <c r="A14" s="21" t="s">
        <v>264</v>
      </c>
      <c r="B14" s="22" t="s">
        <v>265</v>
      </c>
      <c r="C14" s="26"/>
      <c r="D14" s="26"/>
      <c r="E14" s="26"/>
      <c r="F14" s="26"/>
      <c r="G14" s="26"/>
      <c r="H14" s="26"/>
      <c r="I14" s="26"/>
      <c r="J14" s="26"/>
      <c r="K14" s="26"/>
      <c r="L14" s="24" t="s">
        <v>325</v>
      </c>
      <c r="M14" s="24" t="s">
        <v>323</v>
      </c>
      <c r="N14" s="24" t="s">
        <v>323</v>
      </c>
      <c r="O14" s="24" t="s">
        <v>323</v>
      </c>
      <c r="P14" s="24" t="s">
        <v>323</v>
      </c>
    </row>
    <row r="15" spans="1:16" ht="26.1" customHeight="1">
      <c r="A15" s="21" t="s">
        <v>266</v>
      </c>
      <c r="B15" s="22" t="s">
        <v>267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4" t="s">
        <v>325</v>
      </c>
      <c r="N15" s="24" t="s">
        <v>323</v>
      </c>
      <c r="O15" s="24" t="s">
        <v>323</v>
      </c>
      <c r="P15" s="27" t="s">
        <v>326</v>
      </c>
    </row>
    <row r="16" spans="1:16" ht="26.1" customHeight="1">
      <c r="A16" s="21" t="s">
        <v>270</v>
      </c>
      <c r="B16" s="22" t="s">
        <v>271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4" t="s">
        <v>325</v>
      </c>
      <c r="O16" s="24" t="s">
        <v>323</v>
      </c>
      <c r="P16" s="25" t="s">
        <v>324</v>
      </c>
    </row>
    <row r="17" spans="1:16" ht="26.1" customHeight="1">
      <c r="A17" s="21" t="s">
        <v>272</v>
      </c>
      <c r="B17" s="22" t="s">
        <v>273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4" t="s">
        <v>325</v>
      </c>
      <c r="P17" s="24" t="s">
        <v>323</v>
      </c>
    </row>
    <row r="18" spans="1:16" ht="26.1" customHeight="1">
      <c r="A18" s="21" t="s">
        <v>274</v>
      </c>
      <c r="B18" s="22" t="s">
        <v>275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8" t="s">
        <v>328</v>
      </c>
    </row>
    <row r="20" spans="1:16">
      <c r="A20" s="45" t="s">
        <v>336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</row>
  </sheetData>
  <sheetProtection sheet="1" objects="1" scenarios="1"/>
  <mergeCells count="1">
    <mergeCell ref="A20:P20"/>
  </mergeCells>
  <phoneticPr fontId="29" type="noConversion"/>
  <pageMargins left="0.4" right="0.4" top="0.5" bottom="0.5" header="0.5" footer="0.5"/>
  <pageSetup paperSize="9" fitToHeight="0" orientation="landscape"/>
  <headerFooter>
    <oddFooter>&amp;LSOLAS II-2 Reg.9 — T9.1&amp;R&amp;P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P20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6.5"/>
  <cols>
    <col min="1" max="1" width="6" customWidth="1"/>
    <col min="2" max="2" width="30" customWidth="1"/>
    <col min="3" max="16" width="13" customWidth="1"/>
  </cols>
  <sheetData>
    <row r="1" spans="1:16" ht="21.95" customHeight="1">
      <c r="A1" s="1" t="s">
        <v>337</v>
      </c>
    </row>
    <row r="2" spans="1:16">
      <c r="A2" s="2" t="s">
        <v>338</v>
      </c>
    </row>
    <row r="4" spans="1:16" ht="26.1" customHeight="1">
      <c r="A4" s="20" t="s">
        <v>241</v>
      </c>
      <c r="B4" s="20" t="s">
        <v>339</v>
      </c>
      <c r="C4" s="20" t="s">
        <v>242</v>
      </c>
      <c r="D4" s="20" t="s">
        <v>244</v>
      </c>
      <c r="E4" s="20" t="s">
        <v>246</v>
      </c>
      <c r="F4" s="20" t="s">
        <v>248</v>
      </c>
      <c r="G4" s="20" t="s">
        <v>250</v>
      </c>
      <c r="H4" s="20" t="s">
        <v>252</v>
      </c>
      <c r="I4" s="20" t="s">
        <v>255</v>
      </c>
      <c r="J4" s="20" t="s">
        <v>258</v>
      </c>
      <c r="K4" s="20" t="s">
        <v>261</v>
      </c>
      <c r="L4" s="20" t="s">
        <v>264</v>
      </c>
      <c r="M4" s="20" t="s">
        <v>266</v>
      </c>
      <c r="N4" s="20" t="s">
        <v>270</v>
      </c>
      <c r="O4" s="20" t="s">
        <v>272</v>
      </c>
      <c r="P4" s="20" t="s">
        <v>274</v>
      </c>
    </row>
    <row r="5" spans="1:16" ht="26.1" customHeight="1">
      <c r="A5" s="21" t="s">
        <v>242</v>
      </c>
      <c r="B5" s="22" t="s">
        <v>243</v>
      </c>
      <c r="C5" s="28" t="s">
        <v>328</v>
      </c>
      <c r="D5" s="28" t="s">
        <v>328</v>
      </c>
      <c r="E5" s="27" t="s">
        <v>326</v>
      </c>
      <c r="F5" s="24" t="s">
        <v>323</v>
      </c>
      <c r="G5" s="24" t="s">
        <v>323</v>
      </c>
      <c r="H5" s="24" t="s">
        <v>323</v>
      </c>
      <c r="I5" s="27" t="s">
        <v>326</v>
      </c>
      <c r="J5" s="28" t="s">
        <v>328</v>
      </c>
      <c r="K5" s="24" t="s">
        <v>323</v>
      </c>
      <c r="L5" s="24" t="s">
        <v>323</v>
      </c>
      <c r="M5" s="24" t="s">
        <v>323</v>
      </c>
      <c r="N5" s="25" t="s">
        <v>324</v>
      </c>
      <c r="O5" s="24" t="s">
        <v>323</v>
      </c>
      <c r="P5" s="25" t="s">
        <v>324</v>
      </c>
    </row>
    <row r="6" spans="1:16" ht="26.1" customHeight="1">
      <c r="A6" s="21" t="s">
        <v>244</v>
      </c>
      <c r="B6" s="22" t="s">
        <v>245</v>
      </c>
      <c r="C6" s="24" t="s">
        <v>323</v>
      </c>
      <c r="D6" s="24" t="s">
        <v>323</v>
      </c>
      <c r="E6" s="24" t="s">
        <v>323</v>
      </c>
      <c r="F6" s="24" t="s">
        <v>323</v>
      </c>
      <c r="G6" s="24" t="s">
        <v>323</v>
      </c>
      <c r="H6" s="24" t="s">
        <v>323</v>
      </c>
      <c r="I6" s="24" t="s">
        <v>323</v>
      </c>
      <c r="J6" s="24" t="s">
        <v>323</v>
      </c>
      <c r="K6" s="24" t="s">
        <v>323</v>
      </c>
      <c r="L6" s="24" t="s">
        <v>323</v>
      </c>
      <c r="M6" s="24" t="s">
        <v>323</v>
      </c>
      <c r="N6" s="28" t="s">
        <v>328</v>
      </c>
      <c r="O6" s="24" t="s">
        <v>323</v>
      </c>
      <c r="P6" s="28" t="s">
        <v>328</v>
      </c>
    </row>
    <row r="7" spans="1:16" ht="26.1" customHeight="1">
      <c r="A7" s="21" t="s">
        <v>246</v>
      </c>
      <c r="B7" s="22" t="s">
        <v>89</v>
      </c>
      <c r="C7" s="27" t="s">
        <v>326</v>
      </c>
      <c r="D7" s="24" t="s">
        <v>323</v>
      </c>
      <c r="E7" s="24" t="s">
        <v>325</v>
      </c>
      <c r="F7" s="25" t="s">
        <v>324</v>
      </c>
      <c r="G7" s="24" t="s">
        <v>323</v>
      </c>
      <c r="H7" s="24" t="s">
        <v>323</v>
      </c>
      <c r="I7" s="27" t="s">
        <v>326</v>
      </c>
      <c r="J7" s="27" t="s">
        <v>326</v>
      </c>
      <c r="K7" s="24" t="s">
        <v>323</v>
      </c>
      <c r="L7" s="24" t="s">
        <v>323</v>
      </c>
      <c r="M7" s="24" t="s">
        <v>323</v>
      </c>
      <c r="N7" s="28" t="s">
        <v>328</v>
      </c>
      <c r="O7" s="24" t="s">
        <v>323</v>
      </c>
      <c r="P7" s="28" t="s">
        <v>328</v>
      </c>
    </row>
    <row r="8" spans="1:16" ht="26.1" customHeight="1">
      <c r="A8" s="21" t="s">
        <v>248</v>
      </c>
      <c r="B8" s="22" t="s">
        <v>249</v>
      </c>
      <c r="C8" s="24" t="s">
        <v>323</v>
      </c>
      <c r="D8" s="24" t="s">
        <v>323</v>
      </c>
      <c r="E8" s="24" t="s">
        <v>323</v>
      </c>
      <c r="F8" s="24" t="s">
        <v>323</v>
      </c>
      <c r="G8" s="30" t="s">
        <v>330</v>
      </c>
      <c r="H8" s="24" t="s">
        <v>323</v>
      </c>
      <c r="I8" s="24" t="s">
        <v>323</v>
      </c>
      <c r="J8" s="24" t="s">
        <v>323</v>
      </c>
      <c r="K8" s="24" t="s">
        <v>323</v>
      </c>
      <c r="L8" s="24" t="s">
        <v>323</v>
      </c>
      <c r="M8" s="24" t="s">
        <v>323</v>
      </c>
      <c r="N8" s="24" t="s">
        <v>323</v>
      </c>
      <c r="O8" s="24" t="s">
        <v>323</v>
      </c>
      <c r="P8" s="24" t="s">
        <v>323</v>
      </c>
    </row>
    <row r="9" spans="1:16" ht="26.1" customHeight="1">
      <c r="A9" s="21" t="s">
        <v>250</v>
      </c>
      <c r="B9" s="22" t="s">
        <v>104</v>
      </c>
      <c r="C9" s="24" t="s">
        <v>323</v>
      </c>
      <c r="D9" s="24" t="s">
        <v>323</v>
      </c>
      <c r="E9" s="24" t="s">
        <v>323</v>
      </c>
      <c r="F9" s="24" t="s">
        <v>323</v>
      </c>
      <c r="G9" s="30" t="s">
        <v>330</v>
      </c>
      <c r="H9" s="24" t="s">
        <v>323</v>
      </c>
      <c r="I9" s="24" t="s">
        <v>323</v>
      </c>
      <c r="J9" s="24" t="s">
        <v>323</v>
      </c>
      <c r="K9" s="24" t="s">
        <v>323</v>
      </c>
      <c r="L9" s="24" t="s">
        <v>323</v>
      </c>
      <c r="M9" s="24" t="s">
        <v>323</v>
      </c>
      <c r="N9" s="24" t="s">
        <v>323</v>
      </c>
      <c r="O9" s="24" t="s">
        <v>323</v>
      </c>
      <c r="P9" s="24" t="s">
        <v>323</v>
      </c>
    </row>
    <row r="10" spans="1:16" ht="26.1" customHeight="1">
      <c r="A10" s="21" t="s">
        <v>252</v>
      </c>
      <c r="B10" s="22" t="s">
        <v>253</v>
      </c>
      <c r="C10" s="25" t="s">
        <v>324</v>
      </c>
      <c r="D10" s="27" t="s">
        <v>326</v>
      </c>
      <c r="E10" s="24" t="s">
        <v>323</v>
      </c>
      <c r="F10" s="25" t="s">
        <v>324</v>
      </c>
      <c r="G10" s="24" t="s">
        <v>323</v>
      </c>
      <c r="H10" s="24" t="s">
        <v>323</v>
      </c>
      <c r="I10" s="24" t="s">
        <v>323</v>
      </c>
      <c r="J10" s="24" t="s">
        <v>323</v>
      </c>
      <c r="K10" s="24" t="s">
        <v>323</v>
      </c>
      <c r="L10" s="24" t="s">
        <v>323</v>
      </c>
      <c r="M10" s="24" t="s">
        <v>323</v>
      </c>
      <c r="N10" s="24" t="s">
        <v>323</v>
      </c>
      <c r="O10" s="24" t="s">
        <v>323</v>
      </c>
      <c r="P10" s="24" t="s">
        <v>323</v>
      </c>
    </row>
    <row r="11" spans="1:16" ht="26.1" customHeight="1">
      <c r="A11" s="21" t="s">
        <v>255</v>
      </c>
      <c r="B11" s="22" t="s">
        <v>256</v>
      </c>
      <c r="C11" s="25" t="s">
        <v>324</v>
      </c>
      <c r="D11" s="27" t="s">
        <v>326</v>
      </c>
      <c r="E11" s="27" t="s">
        <v>326</v>
      </c>
      <c r="F11" s="25" t="s">
        <v>324</v>
      </c>
      <c r="G11" s="24" t="s">
        <v>323</v>
      </c>
      <c r="H11" s="24" t="s">
        <v>323</v>
      </c>
      <c r="I11" s="27" t="s">
        <v>326</v>
      </c>
      <c r="J11" s="27" t="s">
        <v>326</v>
      </c>
      <c r="K11" s="24" t="s">
        <v>323</v>
      </c>
      <c r="L11" s="24" t="s">
        <v>323</v>
      </c>
      <c r="M11" s="24" t="s">
        <v>323</v>
      </c>
      <c r="N11" s="24" t="s">
        <v>323</v>
      </c>
      <c r="O11" s="24" t="s">
        <v>323</v>
      </c>
      <c r="P11" s="24" t="s">
        <v>323</v>
      </c>
    </row>
    <row r="12" spans="1:16" ht="26.1" customHeight="1">
      <c r="A12" s="21" t="s">
        <v>258</v>
      </c>
      <c r="B12" s="22" t="s">
        <v>259</v>
      </c>
      <c r="C12" s="25" t="s">
        <v>324</v>
      </c>
      <c r="D12" s="27" t="s">
        <v>326</v>
      </c>
      <c r="E12" s="27" t="s">
        <v>326</v>
      </c>
      <c r="F12" s="25" t="s">
        <v>324</v>
      </c>
      <c r="G12" s="24" t="s">
        <v>323</v>
      </c>
      <c r="H12" s="27" t="s">
        <v>326</v>
      </c>
      <c r="I12" s="27" t="s">
        <v>326</v>
      </c>
      <c r="J12" s="28" t="s">
        <v>328</v>
      </c>
      <c r="K12" s="24" t="s">
        <v>323</v>
      </c>
      <c r="L12" s="24" t="s">
        <v>323</v>
      </c>
      <c r="M12" s="24" t="s">
        <v>323</v>
      </c>
      <c r="N12" s="24" t="s">
        <v>323</v>
      </c>
      <c r="O12" s="24" t="s">
        <v>323</v>
      </c>
      <c r="P12" s="24" t="s">
        <v>323</v>
      </c>
    </row>
    <row r="13" spans="1:16" ht="26.1" customHeight="1">
      <c r="A13" s="21" t="s">
        <v>261</v>
      </c>
      <c r="B13" s="22" t="s">
        <v>262</v>
      </c>
      <c r="C13" s="24" t="s">
        <v>323</v>
      </c>
      <c r="D13" s="24" t="s">
        <v>323</v>
      </c>
      <c r="E13" s="24" t="s">
        <v>323</v>
      </c>
      <c r="F13" s="24" t="s">
        <v>323</v>
      </c>
      <c r="G13" s="24" t="s">
        <v>323</v>
      </c>
      <c r="H13" s="24" t="s">
        <v>323</v>
      </c>
      <c r="I13" s="24" t="s">
        <v>323</v>
      </c>
      <c r="J13" s="24" t="s">
        <v>323</v>
      </c>
      <c r="K13" s="24" t="s">
        <v>323</v>
      </c>
      <c r="L13" s="24" t="s">
        <v>323</v>
      </c>
      <c r="M13" s="24" t="s">
        <v>323</v>
      </c>
      <c r="N13" s="24" t="s">
        <v>323</v>
      </c>
      <c r="O13" s="24" t="s">
        <v>323</v>
      </c>
      <c r="P13" s="24" t="s">
        <v>323</v>
      </c>
    </row>
    <row r="14" spans="1:16" ht="26.1" customHeight="1">
      <c r="A14" s="21" t="s">
        <v>264</v>
      </c>
      <c r="B14" s="22" t="s">
        <v>265</v>
      </c>
      <c r="C14" s="24" t="s">
        <v>323</v>
      </c>
      <c r="D14" s="24" t="s">
        <v>323</v>
      </c>
      <c r="E14" s="24" t="s">
        <v>323</v>
      </c>
      <c r="F14" s="24" t="s">
        <v>323</v>
      </c>
      <c r="G14" s="24" t="s">
        <v>323</v>
      </c>
      <c r="H14" s="24" t="s">
        <v>323</v>
      </c>
      <c r="I14" s="24" t="s">
        <v>323</v>
      </c>
      <c r="J14" s="24" t="s">
        <v>323</v>
      </c>
      <c r="K14" s="24" t="s">
        <v>323</v>
      </c>
      <c r="L14" s="24" t="s">
        <v>325</v>
      </c>
      <c r="M14" s="24" t="s">
        <v>323</v>
      </c>
      <c r="N14" s="24" t="s">
        <v>323</v>
      </c>
      <c r="O14" s="24" t="s">
        <v>323</v>
      </c>
      <c r="P14" s="24" t="s">
        <v>323</v>
      </c>
    </row>
    <row r="15" spans="1:16" ht="26.1" customHeight="1">
      <c r="A15" s="21" t="s">
        <v>266</v>
      </c>
      <c r="B15" s="22" t="s">
        <v>267</v>
      </c>
      <c r="C15" s="25" t="s">
        <v>324</v>
      </c>
      <c r="D15" s="25" t="s">
        <v>324</v>
      </c>
      <c r="E15" s="25" t="s">
        <v>324</v>
      </c>
      <c r="F15" s="25" t="s">
        <v>324</v>
      </c>
      <c r="G15" s="24" t="s">
        <v>323</v>
      </c>
      <c r="H15" s="24" t="s">
        <v>323</v>
      </c>
      <c r="I15" s="27" t="s">
        <v>326</v>
      </c>
      <c r="J15" s="28" t="s">
        <v>328</v>
      </c>
      <c r="K15" s="24" t="s">
        <v>323</v>
      </c>
      <c r="L15" s="24" t="s">
        <v>323</v>
      </c>
      <c r="M15" s="24" t="s">
        <v>325</v>
      </c>
      <c r="N15" s="24" t="s">
        <v>323</v>
      </c>
      <c r="O15" s="24" t="s">
        <v>323</v>
      </c>
      <c r="P15" s="28" t="s">
        <v>328</v>
      </c>
    </row>
    <row r="16" spans="1:16" ht="26.1" customHeight="1">
      <c r="A16" s="21" t="s">
        <v>270</v>
      </c>
      <c r="B16" s="22" t="s">
        <v>271</v>
      </c>
      <c r="C16" s="25" t="s">
        <v>324</v>
      </c>
      <c r="D16" s="25" t="s">
        <v>324</v>
      </c>
      <c r="E16" s="25" t="s">
        <v>324</v>
      </c>
      <c r="F16" s="25" t="s">
        <v>324</v>
      </c>
      <c r="G16" s="24" t="s">
        <v>323</v>
      </c>
      <c r="H16" s="25" t="s">
        <v>324</v>
      </c>
      <c r="I16" s="25" t="s">
        <v>324</v>
      </c>
      <c r="J16" s="25" t="s">
        <v>324</v>
      </c>
      <c r="K16" s="24" t="s">
        <v>323</v>
      </c>
      <c r="L16" s="24" t="s">
        <v>323</v>
      </c>
      <c r="M16" s="28" t="s">
        <v>328</v>
      </c>
      <c r="N16" s="28" t="s">
        <v>340</v>
      </c>
      <c r="O16" s="24" t="s">
        <v>323</v>
      </c>
      <c r="P16" s="25" t="s">
        <v>324</v>
      </c>
    </row>
    <row r="17" spans="1:16" ht="26.1" customHeight="1">
      <c r="A17" s="21" t="s">
        <v>272</v>
      </c>
      <c r="B17" s="22" t="s">
        <v>273</v>
      </c>
      <c r="C17" s="25" t="s">
        <v>324</v>
      </c>
      <c r="D17" s="28" t="s">
        <v>328</v>
      </c>
      <c r="E17" s="27" t="s">
        <v>326</v>
      </c>
      <c r="F17" s="25" t="s">
        <v>324</v>
      </c>
      <c r="G17" s="24" t="s">
        <v>323</v>
      </c>
      <c r="H17" s="27" t="s">
        <v>326</v>
      </c>
      <c r="I17" s="28" t="s">
        <v>328</v>
      </c>
      <c r="J17" s="28" t="s">
        <v>328</v>
      </c>
      <c r="K17" s="24" t="s">
        <v>323</v>
      </c>
      <c r="L17" s="24" t="s">
        <v>323</v>
      </c>
      <c r="M17" s="24" t="s">
        <v>323</v>
      </c>
      <c r="N17" s="24" t="s">
        <v>323</v>
      </c>
      <c r="O17" s="24" t="s">
        <v>323</v>
      </c>
      <c r="P17" s="24" t="s">
        <v>323</v>
      </c>
    </row>
    <row r="18" spans="1:16" ht="26.1" customHeight="1">
      <c r="A18" s="21" t="s">
        <v>274</v>
      </c>
      <c r="B18" s="22" t="s">
        <v>275</v>
      </c>
      <c r="C18" s="25" t="s">
        <v>324</v>
      </c>
      <c r="D18" s="25" t="s">
        <v>324</v>
      </c>
      <c r="E18" s="25" t="s">
        <v>324</v>
      </c>
      <c r="F18" s="25" t="s">
        <v>324</v>
      </c>
      <c r="G18" s="24" t="s">
        <v>323</v>
      </c>
      <c r="H18" s="28" t="s">
        <v>328</v>
      </c>
      <c r="I18" s="25" t="s">
        <v>324</v>
      </c>
      <c r="J18" s="25" t="s">
        <v>324</v>
      </c>
      <c r="K18" s="24" t="s">
        <v>323</v>
      </c>
      <c r="L18" s="24" t="s">
        <v>323</v>
      </c>
      <c r="M18" s="24" t="s">
        <v>323</v>
      </c>
      <c r="N18" s="24" t="s">
        <v>323</v>
      </c>
      <c r="O18" s="24" t="s">
        <v>323</v>
      </c>
      <c r="P18" s="24" t="s">
        <v>323</v>
      </c>
    </row>
    <row r="20" spans="1:16">
      <c r="A20" s="45" t="s">
        <v>341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</row>
  </sheetData>
  <sheetProtection sheet="1" objects="1" scenarios="1"/>
  <mergeCells count="1">
    <mergeCell ref="A20:P20"/>
  </mergeCells>
  <phoneticPr fontId="29" type="noConversion"/>
  <pageMargins left="0.4" right="0.4" top="0.5" bottom="0.5" header="0.5" footer="0.5"/>
  <pageSetup paperSize="9" fitToHeight="0" orientation="landscape"/>
  <headerFooter>
    <oddFooter>&amp;LSOLAS II-2 Reg.9 — T9.2&amp;R&amp;P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17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6.5"/>
  <cols>
    <col min="1" max="1" width="6" customWidth="1"/>
    <col min="2" max="2" width="30" customWidth="1"/>
    <col min="3" max="13" width="13" customWidth="1"/>
  </cols>
  <sheetData>
    <row r="1" spans="1:13" ht="21.95" customHeight="1">
      <c r="A1" s="1" t="s">
        <v>342</v>
      </c>
    </row>
    <row r="2" spans="1:13">
      <c r="A2" s="2" t="s">
        <v>343</v>
      </c>
    </row>
    <row r="4" spans="1:13" ht="26.1" customHeight="1">
      <c r="A4" s="20" t="s">
        <v>241</v>
      </c>
      <c r="B4" s="20" t="s">
        <v>321</v>
      </c>
      <c r="C4" s="20" t="s">
        <v>242</v>
      </c>
      <c r="D4" s="20" t="s">
        <v>244</v>
      </c>
      <c r="E4" s="20" t="s">
        <v>246</v>
      </c>
      <c r="F4" s="20" t="s">
        <v>248</v>
      </c>
      <c r="G4" s="20" t="s">
        <v>250</v>
      </c>
      <c r="H4" s="20" t="s">
        <v>252</v>
      </c>
      <c r="I4" s="20" t="s">
        <v>255</v>
      </c>
      <c r="J4" s="20" t="s">
        <v>258</v>
      </c>
      <c r="K4" s="20" t="s">
        <v>261</v>
      </c>
      <c r="L4" s="20" t="s">
        <v>264</v>
      </c>
      <c r="M4" s="20" t="s">
        <v>266</v>
      </c>
    </row>
    <row r="5" spans="1:13" ht="26.1" customHeight="1">
      <c r="A5" s="21" t="s">
        <v>242</v>
      </c>
      <c r="B5" s="22" t="s">
        <v>243</v>
      </c>
      <c r="C5" s="24" t="s">
        <v>327</v>
      </c>
      <c r="D5" s="24" t="s">
        <v>323</v>
      </c>
      <c r="E5" s="25" t="s">
        <v>324</v>
      </c>
      <c r="F5" s="24" t="s">
        <v>323</v>
      </c>
      <c r="G5" s="27" t="s">
        <v>326</v>
      </c>
      <c r="H5" s="25" t="s">
        <v>324</v>
      </c>
      <c r="I5" s="27" t="s">
        <v>326</v>
      </c>
      <c r="J5" s="25" t="s">
        <v>324</v>
      </c>
      <c r="K5" s="25" t="s">
        <v>324</v>
      </c>
      <c r="L5" s="32" t="s">
        <v>344</v>
      </c>
      <c r="M5" s="25" t="s">
        <v>324</v>
      </c>
    </row>
    <row r="6" spans="1:13" ht="26.1" customHeight="1">
      <c r="A6" s="21" t="s">
        <v>244</v>
      </c>
      <c r="B6" s="22" t="s">
        <v>89</v>
      </c>
      <c r="C6" s="26"/>
      <c r="D6" s="31" t="s">
        <v>345</v>
      </c>
      <c r="E6" s="23" t="s">
        <v>346</v>
      </c>
      <c r="F6" s="24" t="s">
        <v>347</v>
      </c>
      <c r="G6" s="23" t="s">
        <v>346</v>
      </c>
      <c r="H6" s="25" t="s">
        <v>324</v>
      </c>
      <c r="I6" s="24" t="s">
        <v>323</v>
      </c>
      <c r="J6" s="24" t="s">
        <v>323</v>
      </c>
      <c r="K6" s="27" t="s">
        <v>348</v>
      </c>
      <c r="L6" s="32" t="s">
        <v>344</v>
      </c>
      <c r="M6" s="27" t="s">
        <v>326</v>
      </c>
    </row>
    <row r="7" spans="1:13" ht="26.1" customHeight="1">
      <c r="A7" s="21" t="s">
        <v>246</v>
      </c>
      <c r="B7" s="22" t="s">
        <v>247</v>
      </c>
      <c r="C7" s="26"/>
      <c r="D7" s="26"/>
      <c r="E7" s="31" t="s">
        <v>345</v>
      </c>
      <c r="F7" s="24" t="s">
        <v>347</v>
      </c>
      <c r="G7" s="23" t="s">
        <v>346</v>
      </c>
      <c r="H7" s="25" t="s">
        <v>324</v>
      </c>
      <c r="I7" s="24" t="s">
        <v>323</v>
      </c>
      <c r="J7" s="24" t="s">
        <v>323</v>
      </c>
      <c r="K7" s="27" t="s">
        <v>348</v>
      </c>
      <c r="L7" s="32" t="s">
        <v>344</v>
      </c>
      <c r="M7" s="28" t="s">
        <v>349</v>
      </c>
    </row>
    <row r="8" spans="1:13" ht="26.1" customHeight="1">
      <c r="A8" s="21" t="s">
        <v>248</v>
      </c>
      <c r="B8" s="22" t="s">
        <v>245</v>
      </c>
      <c r="C8" s="26"/>
      <c r="D8" s="26"/>
      <c r="E8" s="26"/>
      <c r="F8" s="24" t="s">
        <v>347</v>
      </c>
      <c r="G8" s="24" t="s">
        <v>347</v>
      </c>
      <c r="H8" s="25" t="s">
        <v>324</v>
      </c>
      <c r="I8" s="24" t="s">
        <v>323</v>
      </c>
      <c r="J8" s="24" t="s">
        <v>323</v>
      </c>
      <c r="K8" s="27" t="s">
        <v>348</v>
      </c>
      <c r="L8" s="32" t="s">
        <v>344</v>
      </c>
      <c r="M8" s="27" t="s">
        <v>326</v>
      </c>
    </row>
    <row r="9" spans="1:13" ht="26.1" customHeight="1">
      <c r="A9" s="21" t="s">
        <v>250</v>
      </c>
      <c r="B9" s="22" t="s">
        <v>251</v>
      </c>
      <c r="C9" s="26"/>
      <c r="D9" s="26"/>
      <c r="E9" s="26"/>
      <c r="F9" s="26"/>
      <c r="G9" s="31" t="s">
        <v>345</v>
      </c>
      <c r="H9" s="25" t="s">
        <v>324</v>
      </c>
      <c r="I9" s="24" t="s">
        <v>323</v>
      </c>
      <c r="J9" s="24" t="s">
        <v>323</v>
      </c>
      <c r="K9" s="24" t="s">
        <v>323</v>
      </c>
      <c r="L9" s="32" t="s">
        <v>344</v>
      </c>
      <c r="M9" s="24" t="s">
        <v>323</v>
      </c>
    </row>
    <row r="10" spans="1:13" ht="26.1" customHeight="1">
      <c r="A10" s="21" t="s">
        <v>252</v>
      </c>
      <c r="B10" s="22" t="s">
        <v>254</v>
      </c>
      <c r="C10" s="26"/>
      <c r="D10" s="26"/>
      <c r="E10" s="26"/>
      <c r="F10" s="26"/>
      <c r="G10" s="26"/>
      <c r="H10" s="32" t="s">
        <v>344</v>
      </c>
      <c r="I10" s="24" t="s">
        <v>323</v>
      </c>
      <c r="J10" s="24" t="s">
        <v>323</v>
      </c>
      <c r="K10" s="25" t="s">
        <v>324</v>
      </c>
      <c r="L10" s="32" t="s">
        <v>344</v>
      </c>
      <c r="M10" s="25" t="s">
        <v>324</v>
      </c>
    </row>
    <row r="11" spans="1:13" ht="26.1" customHeight="1">
      <c r="A11" s="21" t="s">
        <v>255</v>
      </c>
      <c r="B11" s="22" t="s">
        <v>257</v>
      </c>
      <c r="C11" s="26"/>
      <c r="D11" s="26"/>
      <c r="E11" s="26"/>
      <c r="F11" s="26"/>
      <c r="G11" s="26"/>
      <c r="H11" s="26"/>
      <c r="I11" s="24" t="s">
        <v>350</v>
      </c>
      <c r="J11" s="24" t="s">
        <v>323</v>
      </c>
      <c r="K11" s="24" t="s">
        <v>323</v>
      </c>
      <c r="L11" s="32" t="s">
        <v>344</v>
      </c>
      <c r="M11" s="24" t="s">
        <v>323</v>
      </c>
    </row>
    <row r="12" spans="1:13" ht="26.1" customHeight="1">
      <c r="A12" s="21" t="s">
        <v>258</v>
      </c>
      <c r="B12" s="22" t="s">
        <v>260</v>
      </c>
      <c r="C12" s="26"/>
      <c r="D12" s="26"/>
      <c r="E12" s="26"/>
      <c r="F12" s="26"/>
      <c r="G12" s="26"/>
      <c r="H12" s="26"/>
      <c r="I12" s="26"/>
      <c r="J12" s="32" t="s">
        <v>344</v>
      </c>
      <c r="K12" s="24" t="s">
        <v>323</v>
      </c>
      <c r="L12" s="32" t="s">
        <v>344</v>
      </c>
      <c r="M12" s="24" t="s">
        <v>323</v>
      </c>
    </row>
    <row r="13" spans="1:13" ht="26.1" customHeight="1">
      <c r="A13" s="21" t="s">
        <v>261</v>
      </c>
      <c r="B13" s="22" t="s">
        <v>263</v>
      </c>
      <c r="C13" s="26"/>
      <c r="D13" s="26"/>
      <c r="E13" s="26"/>
      <c r="F13" s="26"/>
      <c r="G13" s="26"/>
      <c r="H13" s="26"/>
      <c r="I13" s="26"/>
      <c r="J13" s="26"/>
      <c r="K13" s="24" t="s">
        <v>350</v>
      </c>
      <c r="L13" s="32" t="s">
        <v>344</v>
      </c>
      <c r="M13" s="28" t="s">
        <v>328</v>
      </c>
    </row>
    <row r="14" spans="1:13" ht="26.1" customHeight="1">
      <c r="A14" s="21" t="s">
        <v>264</v>
      </c>
      <c r="B14" s="22" t="s">
        <v>104</v>
      </c>
      <c r="C14" s="26"/>
      <c r="D14" s="26"/>
      <c r="E14" s="26"/>
      <c r="F14" s="26"/>
      <c r="G14" s="26"/>
      <c r="H14" s="26"/>
      <c r="I14" s="26"/>
      <c r="J14" s="26"/>
      <c r="K14" s="26"/>
      <c r="L14" s="30" t="s">
        <v>330</v>
      </c>
      <c r="M14" s="24" t="s">
        <v>323</v>
      </c>
    </row>
    <row r="15" spans="1:13" ht="26.1" customHeight="1">
      <c r="A15" s="21" t="s">
        <v>266</v>
      </c>
      <c r="B15" s="22" t="s">
        <v>268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4" t="s">
        <v>323</v>
      </c>
    </row>
    <row r="17" spans="1:13">
      <c r="A17" s="45" t="s">
        <v>336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</row>
  </sheetData>
  <sheetProtection sheet="1" objects="1" scenarios="1"/>
  <mergeCells count="1">
    <mergeCell ref="A17:M17"/>
  </mergeCells>
  <phoneticPr fontId="29" type="noConversion"/>
  <pageMargins left="0.4" right="0.4" top="0.5" bottom="0.5" header="0.5" footer="0.5"/>
  <pageSetup paperSize="9" fitToHeight="0" orientation="landscape"/>
  <headerFooter>
    <oddFooter>&amp;LSOLAS II-2 Reg.9 — T9.3&amp;R&amp;P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17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6.5"/>
  <cols>
    <col min="1" max="1" width="6" customWidth="1"/>
    <col min="2" max="2" width="30" customWidth="1"/>
    <col min="3" max="13" width="13" customWidth="1"/>
  </cols>
  <sheetData>
    <row r="1" spans="1:13" ht="21.95" customHeight="1">
      <c r="A1" s="1" t="s">
        <v>351</v>
      </c>
    </row>
    <row r="2" spans="1:13">
      <c r="A2" s="2" t="s">
        <v>352</v>
      </c>
    </row>
    <row r="4" spans="1:13" ht="26.1" customHeight="1">
      <c r="A4" s="20" t="s">
        <v>241</v>
      </c>
      <c r="B4" s="20" t="s">
        <v>339</v>
      </c>
      <c r="C4" s="20" t="s">
        <v>242</v>
      </c>
      <c r="D4" s="20" t="s">
        <v>244</v>
      </c>
      <c r="E4" s="20" t="s">
        <v>246</v>
      </c>
      <c r="F4" s="20" t="s">
        <v>248</v>
      </c>
      <c r="G4" s="20" t="s">
        <v>250</v>
      </c>
      <c r="H4" s="20" t="s">
        <v>252</v>
      </c>
      <c r="I4" s="20" t="s">
        <v>255</v>
      </c>
      <c r="J4" s="20" t="s">
        <v>258</v>
      </c>
      <c r="K4" s="20" t="s">
        <v>261</v>
      </c>
      <c r="L4" s="20" t="s">
        <v>264</v>
      </c>
      <c r="M4" s="20" t="s">
        <v>266</v>
      </c>
    </row>
    <row r="5" spans="1:13" ht="26.1" customHeight="1">
      <c r="A5" s="21" t="s">
        <v>242</v>
      </c>
      <c r="B5" s="22" t="s">
        <v>243</v>
      </c>
      <c r="C5" s="24" t="s">
        <v>323</v>
      </c>
      <c r="D5" s="24" t="s">
        <v>323</v>
      </c>
      <c r="E5" s="24" t="s">
        <v>323</v>
      </c>
      <c r="F5" s="24" t="s">
        <v>323</v>
      </c>
      <c r="G5" s="24" t="s">
        <v>323</v>
      </c>
      <c r="H5" s="25" t="s">
        <v>324</v>
      </c>
      <c r="I5" s="24" t="s">
        <v>323</v>
      </c>
      <c r="J5" s="24" t="s">
        <v>323</v>
      </c>
      <c r="K5" s="24" t="s">
        <v>323</v>
      </c>
      <c r="L5" s="32" t="s">
        <v>344</v>
      </c>
      <c r="M5" s="28" t="s">
        <v>328</v>
      </c>
    </row>
    <row r="6" spans="1:13" ht="26.1" customHeight="1">
      <c r="A6" s="21" t="s">
        <v>244</v>
      </c>
      <c r="B6" s="22" t="s">
        <v>89</v>
      </c>
      <c r="C6" s="24" t="s">
        <v>323</v>
      </c>
      <c r="D6" s="32" t="s">
        <v>344</v>
      </c>
      <c r="E6" s="32" t="s">
        <v>344</v>
      </c>
      <c r="F6" s="24" t="s">
        <v>323</v>
      </c>
      <c r="G6" s="32" t="s">
        <v>344</v>
      </c>
      <c r="H6" s="25" t="s">
        <v>324</v>
      </c>
      <c r="I6" s="24" t="s">
        <v>323</v>
      </c>
      <c r="J6" s="24" t="s">
        <v>323</v>
      </c>
      <c r="K6" s="24" t="s">
        <v>323</v>
      </c>
      <c r="L6" s="32" t="s">
        <v>344</v>
      </c>
      <c r="M6" s="24" t="s">
        <v>323</v>
      </c>
    </row>
    <row r="7" spans="1:13" ht="26.1" customHeight="1">
      <c r="A7" s="21" t="s">
        <v>246</v>
      </c>
      <c r="B7" s="22" t="s">
        <v>247</v>
      </c>
      <c r="C7" s="25" t="s">
        <v>324</v>
      </c>
      <c r="D7" s="24" t="s">
        <v>323</v>
      </c>
      <c r="E7" s="32" t="s">
        <v>344</v>
      </c>
      <c r="F7" s="24" t="s">
        <v>323</v>
      </c>
      <c r="G7" s="32" t="s">
        <v>344</v>
      </c>
      <c r="H7" s="25" t="s">
        <v>324</v>
      </c>
      <c r="I7" s="24" t="s">
        <v>323</v>
      </c>
      <c r="J7" s="24" t="s">
        <v>323</v>
      </c>
      <c r="K7" s="24" t="s">
        <v>323</v>
      </c>
      <c r="L7" s="32" t="s">
        <v>344</v>
      </c>
      <c r="M7" s="28" t="s">
        <v>349</v>
      </c>
    </row>
    <row r="8" spans="1:13" ht="26.1" customHeight="1">
      <c r="A8" s="21" t="s">
        <v>248</v>
      </c>
      <c r="B8" s="22" t="s">
        <v>245</v>
      </c>
      <c r="C8" s="24" t="s">
        <v>323</v>
      </c>
      <c r="D8" s="24" t="s">
        <v>323</v>
      </c>
      <c r="E8" s="24" t="s">
        <v>323</v>
      </c>
      <c r="F8" s="32" t="s">
        <v>344</v>
      </c>
      <c r="G8" s="24" t="s">
        <v>323</v>
      </c>
      <c r="H8" s="25" t="s">
        <v>324</v>
      </c>
      <c r="I8" s="24" t="s">
        <v>323</v>
      </c>
      <c r="J8" s="24" t="s">
        <v>323</v>
      </c>
      <c r="K8" s="24" t="s">
        <v>323</v>
      </c>
      <c r="L8" s="32" t="s">
        <v>344</v>
      </c>
      <c r="M8" s="24" t="s">
        <v>323</v>
      </c>
    </row>
    <row r="9" spans="1:13" ht="26.1" customHeight="1">
      <c r="A9" s="21" t="s">
        <v>250</v>
      </c>
      <c r="B9" s="22" t="s">
        <v>251</v>
      </c>
      <c r="C9" s="27" t="s">
        <v>326</v>
      </c>
      <c r="D9" s="24" t="s">
        <v>323</v>
      </c>
      <c r="E9" s="24" t="s">
        <v>323</v>
      </c>
      <c r="F9" s="24" t="s">
        <v>323</v>
      </c>
      <c r="G9" s="32" t="s">
        <v>344</v>
      </c>
      <c r="H9" s="25" t="s">
        <v>324</v>
      </c>
      <c r="I9" s="24" t="s">
        <v>323</v>
      </c>
      <c r="J9" s="24" t="s">
        <v>323</v>
      </c>
      <c r="K9" s="24" t="s">
        <v>323</v>
      </c>
      <c r="L9" s="32" t="s">
        <v>344</v>
      </c>
      <c r="M9" s="24" t="s">
        <v>323</v>
      </c>
    </row>
    <row r="10" spans="1:13" ht="26.1" customHeight="1">
      <c r="A10" s="21" t="s">
        <v>252</v>
      </c>
      <c r="B10" s="22" t="s">
        <v>254</v>
      </c>
      <c r="C10" s="25" t="s">
        <v>324</v>
      </c>
      <c r="D10" s="25" t="s">
        <v>324</v>
      </c>
      <c r="E10" s="25" t="s">
        <v>324</v>
      </c>
      <c r="F10" s="25" t="s">
        <v>324</v>
      </c>
      <c r="G10" s="25" t="s">
        <v>324</v>
      </c>
      <c r="H10" s="32" t="s">
        <v>344</v>
      </c>
      <c r="I10" s="25" t="s">
        <v>353</v>
      </c>
      <c r="J10" s="28" t="s">
        <v>328</v>
      </c>
      <c r="K10" s="25" t="s">
        <v>324</v>
      </c>
      <c r="L10" s="32" t="s">
        <v>344</v>
      </c>
      <c r="M10" s="25" t="s">
        <v>324</v>
      </c>
    </row>
    <row r="11" spans="1:13" ht="26.1" customHeight="1">
      <c r="A11" s="21" t="s">
        <v>255</v>
      </c>
      <c r="B11" s="22" t="s">
        <v>257</v>
      </c>
      <c r="C11" s="27" t="s">
        <v>326</v>
      </c>
      <c r="D11" s="24" t="s">
        <v>323</v>
      </c>
      <c r="E11" s="24" t="s">
        <v>323</v>
      </c>
      <c r="F11" s="24" t="s">
        <v>323</v>
      </c>
      <c r="G11" s="24" t="s">
        <v>323</v>
      </c>
      <c r="H11" s="24" t="s">
        <v>323</v>
      </c>
      <c r="I11" s="32" t="s">
        <v>344</v>
      </c>
      <c r="J11" s="24" t="s">
        <v>323</v>
      </c>
      <c r="K11" s="24" t="s">
        <v>323</v>
      </c>
      <c r="L11" s="32" t="s">
        <v>344</v>
      </c>
      <c r="M11" s="24" t="s">
        <v>323</v>
      </c>
    </row>
    <row r="12" spans="1:13" ht="26.1" customHeight="1">
      <c r="A12" s="21" t="s">
        <v>258</v>
      </c>
      <c r="B12" s="22" t="s">
        <v>260</v>
      </c>
      <c r="C12" s="25" t="s">
        <v>324</v>
      </c>
      <c r="D12" s="24" t="s">
        <v>323</v>
      </c>
      <c r="E12" s="24" t="s">
        <v>323</v>
      </c>
      <c r="F12" s="24" t="s">
        <v>323</v>
      </c>
      <c r="G12" s="24" t="s">
        <v>323</v>
      </c>
      <c r="H12" s="24" t="s">
        <v>323</v>
      </c>
      <c r="I12" s="24" t="s">
        <v>323</v>
      </c>
      <c r="J12" s="32" t="s">
        <v>344</v>
      </c>
      <c r="K12" s="24" t="s">
        <v>323</v>
      </c>
      <c r="L12" s="32" t="s">
        <v>344</v>
      </c>
      <c r="M12" s="24" t="s">
        <v>323</v>
      </c>
    </row>
    <row r="13" spans="1:13" ht="26.1" customHeight="1">
      <c r="A13" s="21" t="s">
        <v>261</v>
      </c>
      <c r="B13" s="22" t="s">
        <v>263</v>
      </c>
      <c r="C13" s="25" t="s">
        <v>324</v>
      </c>
      <c r="D13" s="28" t="s">
        <v>349</v>
      </c>
      <c r="E13" s="28" t="s">
        <v>349</v>
      </c>
      <c r="F13" s="28" t="s">
        <v>349</v>
      </c>
      <c r="G13" s="24" t="s">
        <v>323</v>
      </c>
      <c r="H13" s="25" t="s">
        <v>324</v>
      </c>
      <c r="I13" s="24" t="s">
        <v>323</v>
      </c>
      <c r="J13" s="24" t="s">
        <v>323</v>
      </c>
      <c r="K13" s="24" t="s">
        <v>323</v>
      </c>
      <c r="L13" s="32" t="s">
        <v>344</v>
      </c>
      <c r="M13" s="28" t="s">
        <v>328</v>
      </c>
    </row>
    <row r="14" spans="1:13" ht="26.1" customHeight="1">
      <c r="A14" s="21" t="s">
        <v>264</v>
      </c>
      <c r="B14" s="22" t="s">
        <v>104</v>
      </c>
      <c r="C14" s="32" t="s">
        <v>344</v>
      </c>
      <c r="D14" s="32" t="s">
        <v>344</v>
      </c>
      <c r="E14" s="32" t="s">
        <v>344</v>
      </c>
      <c r="F14" s="32" t="s">
        <v>344</v>
      </c>
      <c r="G14" s="32" t="s">
        <v>344</v>
      </c>
      <c r="H14" s="32" t="s">
        <v>344</v>
      </c>
      <c r="I14" s="32" t="s">
        <v>344</v>
      </c>
      <c r="J14" s="32" t="s">
        <v>344</v>
      </c>
      <c r="K14" s="32" t="s">
        <v>344</v>
      </c>
      <c r="L14" s="30" t="s">
        <v>330</v>
      </c>
      <c r="M14" s="24" t="s">
        <v>323</v>
      </c>
    </row>
    <row r="15" spans="1:13" ht="26.1" customHeight="1">
      <c r="A15" s="21" t="s">
        <v>266</v>
      </c>
      <c r="B15" s="22" t="s">
        <v>268</v>
      </c>
      <c r="C15" s="25" t="s">
        <v>324</v>
      </c>
      <c r="D15" s="27" t="s">
        <v>326</v>
      </c>
      <c r="E15" s="28" t="s">
        <v>349</v>
      </c>
      <c r="F15" s="27" t="s">
        <v>326</v>
      </c>
      <c r="G15" s="24" t="s">
        <v>323</v>
      </c>
      <c r="H15" s="28" t="s">
        <v>328</v>
      </c>
      <c r="I15" s="24" t="s">
        <v>323</v>
      </c>
      <c r="J15" s="24" t="s">
        <v>323</v>
      </c>
      <c r="K15" s="28" t="s">
        <v>328</v>
      </c>
      <c r="L15" s="24" t="s">
        <v>323</v>
      </c>
      <c r="M15" s="24" t="s">
        <v>323</v>
      </c>
    </row>
    <row r="17" spans="1:13">
      <c r="A17" s="45" t="s">
        <v>341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</row>
  </sheetData>
  <sheetProtection sheet="1" objects="1" scenarios="1"/>
  <mergeCells count="1">
    <mergeCell ref="A17:M17"/>
  </mergeCells>
  <phoneticPr fontId="29" type="noConversion"/>
  <pageMargins left="0.4" right="0.4" top="0.5" bottom="0.5" header="0.5" footer="0.5"/>
  <pageSetup paperSize="9" fitToHeight="0" orientation="landscape"/>
  <headerFooter>
    <oddFooter>&amp;LSOLAS II-2 Reg.9 — T9.4&amp;R&amp;P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17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6.5"/>
  <cols>
    <col min="1" max="1" width="6" customWidth="1"/>
    <col min="2" max="2" width="30" customWidth="1"/>
    <col min="3" max="13" width="13" customWidth="1"/>
  </cols>
  <sheetData>
    <row r="1" spans="1:13" ht="21.95" customHeight="1">
      <c r="A1" s="1" t="s">
        <v>354</v>
      </c>
    </row>
    <row r="2" spans="1:13">
      <c r="A2" s="2" t="s">
        <v>355</v>
      </c>
    </row>
    <row r="4" spans="1:13" ht="26.1" customHeight="1">
      <c r="A4" s="20" t="s">
        <v>241</v>
      </c>
      <c r="B4" s="20" t="s">
        <v>321</v>
      </c>
      <c r="C4" s="20" t="s">
        <v>242</v>
      </c>
      <c r="D4" s="20" t="s">
        <v>244</v>
      </c>
      <c r="E4" s="20" t="s">
        <v>246</v>
      </c>
      <c r="F4" s="20" t="s">
        <v>248</v>
      </c>
      <c r="G4" s="20" t="s">
        <v>250</v>
      </c>
      <c r="H4" s="20" t="s">
        <v>252</v>
      </c>
      <c r="I4" s="20" t="s">
        <v>255</v>
      </c>
      <c r="J4" s="20" t="s">
        <v>258</v>
      </c>
      <c r="K4" s="20" t="s">
        <v>261</v>
      </c>
      <c r="L4" s="20" t="s">
        <v>264</v>
      </c>
      <c r="M4" s="20" t="s">
        <v>266</v>
      </c>
    </row>
    <row r="5" spans="1:13" ht="26.1" customHeight="1">
      <c r="A5" s="21" t="s">
        <v>242</v>
      </c>
      <c r="B5" s="22" t="s">
        <v>243</v>
      </c>
      <c r="C5" s="24" t="s">
        <v>356</v>
      </c>
      <c r="D5" s="24" t="s">
        <v>323</v>
      </c>
      <c r="E5" s="25" t="s">
        <v>324</v>
      </c>
      <c r="F5" s="24" t="s">
        <v>323</v>
      </c>
      <c r="G5" s="27" t="s">
        <v>326</v>
      </c>
      <c r="H5" s="25" t="s">
        <v>324</v>
      </c>
      <c r="I5" s="27" t="s">
        <v>326</v>
      </c>
      <c r="J5" s="25" t="s">
        <v>324</v>
      </c>
      <c r="K5" s="25" t="s">
        <v>324</v>
      </c>
      <c r="L5" s="32" t="s">
        <v>344</v>
      </c>
      <c r="M5" s="25" t="s">
        <v>324</v>
      </c>
    </row>
    <row r="6" spans="1:13" ht="26.1" customHeight="1">
      <c r="A6" s="21" t="s">
        <v>244</v>
      </c>
      <c r="B6" s="22" t="s">
        <v>89</v>
      </c>
      <c r="C6" s="26"/>
      <c r="D6" s="31" t="s">
        <v>335</v>
      </c>
      <c r="E6" s="23" t="s">
        <v>334</v>
      </c>
      <c r="F6" s="23" t="s">
        <v>357</v>
      </c>
      <c r="G6" s="23" t="s">
        <v>334</v>
      </c>
      <c r="H6" s="25" t="s">
        <v>324</v>
      </c>
      <c r="I6" s="24" t="s">
        <v>323</v>
      </c>
      <c r="J6" s="24" t="s">
        <v>323</v>
      </c>
      <c r="K6" s="24" t="s">
        <v>323</v>
      </c>
      <c r="L6" s="32" t="s">
        <v>344</v>
      </c>
      <c r="M6" s="28" t="s">
        <v>328</v>
      </c>
    </row>
    <row r="7" spans="1:13" ht="26.1" customHeight="1">
      <c r="A7" s="21" t="s">
        <v>246</v>
      </c>
      <c r="B7" s="22" t="s">
        <v>247</v>
      </c>
      <c r="C7" s="26"/>
      <c r="D7" s="26"/>
      <c r="E7" s="31" t="s">
        <v>358</v>
      </c>
      <c r="F7" s="23" t="s">
        <v>357</v>
      </c>
      <c r="G7" s="23" t="s">
        <v>334</v>
      </c>
      <c r="H7" s="25" t="s">
        <v>324</v>
      </c>
      <c r="I7" s="24" t="s">
        <v>323</v>
      </c>
      <c r="J7" s="24" t="s">
        <v>323</v>
      </c>
      <c r="K7" s="24" t="s">
        <v>323</v>
      </c>
      <c r="L7" s="32" t="s">
        <v>344</v>
      </c>
      <c r="M7" s="28" t="s">
        <v>328</v>
      </c>
    </row>
    <row r="8" spans="1:13" ht="26.1" customHeight="1">
      <c r="A8" s="21" t="s">
        <v>248</v>
      </c>
      <c r="B8" s="22" t="s">
        <v>245</v>
      </c>
      <c r="C8" s="26"/>
      <c r="D8" s="26"/>
      <c r="E8" s="26"/>
      <c r="F8" s="23" t="s">
        <v>357</v>
      </c>
      <c r="G8" s="23" t="s">
        <v>357</v>
      </c>
      <c r="H8" s="25" t="s">
        <v>324</v>
      </c>
      <c r="I8" s="24" t="s">
        <v>323</v>
      </c>
      <c r="J8" s="24" t="s">
        <v>323</v>
      </c>
      <c r="K8" s="24" t="s">
        <v>323</v>
      </c>
      <c r="L8" s="32" t="s">
        <v>344</v>
      </c>
      <c r="M8" s="28" t="s">
        <v>328</v>
      </c>
    </row>
    <row r="9" spans="1:13" ht="26.1" customHeight="1">
      <c r="A9" s="21" t="s">
        <v>250</v>
      </c>
      <c r="B9" s="22" t="s">
        <v>251</v>
      </c>
      <c r="C9" s="26"/>
      <c r="D9" s="26"/>
      <c r="E9" s="26"/>
      <c r="F9" s="26"/>
      <c r="G9" s="31" t="s">
        <v>335</v>
      </c>
      <c r="H9" s="25" t="s">
        <v>324</v>
      </c>
      <c r="I9" s="24" t="s">
        <v>323</v>
      </c>
      <c r="J9" s="24" t="s">
        <v>323</v>
      </c>
      <c r="K9" s="24" t="s">
        <v>323</v>
      </c>
      <c r="L9" s="32" t="s">
        <v>344</v>
      </c>
      <c r="M9" s="24" t="s">
        <v>323</v>
      </c>
    </row>
    <row r="10" spans="1:13" ht="26.1" customHeight="1">
      <c r="A10" s="21" t="s">
        <v>252</v>
      </c>
      <c r="B10" s="22" t="s">
        <v>254</v>
      </c>
      <c r="C10" s="26"/>
      <c r="D10" s="26"/>
      <c r="E10" s="26"/>
      <c r="F10" s="26"/>
      <c r="G10" s="26"/>
      <c r="H10" s="32" t="s">
        <v>344</v>
      </c>
      <c r="I10" s="24" t="s">
        <v>323</v>
      </c>
      <c r="J10" s="24" t="s">
        <v>359</v>
      </c>
      <c r="K10" s="25" t="s">
        <v>324</v>
      </c>
      <c r="L10" s="32" t="s">
        <v>344</v>
      </c>
      <c r="M10" s="25" t="s">
        <v>353</v>
      </c>
    </row>
    <row r="11" spans="1:13" ht="26.1" customHeight="1">
      <c r="A11" s="21" t="s">
        <v>255</v>
      </c>
      <c r="B11" s="22" t="s">
        <v>257</v>
      </c>
      <c r="C11" s="26"/>
      <c r="D11" s="26"/>
      <c r="E11" s="26"/>
      <c r="F11" s="26"/>
      <c r="G11" s="26"/>
      <c r="H11" s="26"/>
      <c r="I11" s="24" t="s">
        <v>332</v>
      </c>
      <c r="J11" s="24" t="s">
        <v>323</v>
      </c>
      <c r="K11" s="24" t="s">
        <v>323</v>
      </c>
      <c r="L11" s="32" t="s">
        <v>344</v>
      </c>
      <c r="M11" s="24" t="s">
        <v>323</v>
      </c>
    </row>
    <row r="12" spans="1:13" ht="26.1" customHeight="1">
      <c r="A12" s="21" t="s">
        <v>258</v>
      </c>
      <c r="B12" s="22" t="s">
        <v>260</v>
      </c>
      <c r="C12" s="26"/>
      <c r="D12" s="26"/>
      <c r="E12" s="26"/>
      <c r="F12" s="26"/>
      <c r="G12" s="26"/>
      <c r="H12" s="26"/>
      <c r="I12" s="26"/>
      <c r="J12" s="32" t="s">
        <v>344</v>
      </c>
      <c r="K12" s="24" t="s">
        <v>323</v>
      </c>
      <c r="L12" s="32" t="s">
        <v>344</v>
      </c>
      <c r="M12" s="24" t="s">
        <v>323</v>
      </c>
    </row>
    <row r="13" spans="1:13" ht="26.1" customHeight="1">
      <c r="A13" s="21" t="s">
        <v>261</v>
      </c>
      <c r="B13" s="22" t="s">
        <v>263</v>
      </c>
      <c r="C13" s="26"/>
      <c r="D13" s="26"/>
      <c r="E13" s="26"/>
      <c r="F13" s="26"/>
      <c r="G13" s="26"/>
      <c r="H13" s="26"/>
      <c r="I13" s="26"/>
      <c r="J13" s="26"/>
      <c r="K13" s="24" t="s">
        <v>332</v>
      </c>
      <c r="L13" s="32" t="s">
        <v>344</v>
      </c>
      <c r="M13" s="28" t="s">
        <v>328</v>
      </c>
    </row>
    <row r="14" spans="1:13" ht="26.1" customHeight="1">
      <c r="A14" s="21" t="s">
        <v>264</v>
      </c>
      <c r="B14" s="22" t="s">
        <v>104</v>
      </c>
      <c r="C14" s="26"/>
      <c r="D14" s="26"/>
      <c r="E14" s="26"/>
      <c r="F14" s="26"/>
      <c r="G14" s="26"/>
      <c r="H14" s="26"/>
      <c r="I14" s="26"/>
      <c r="J14" s="26"/>
      <c r="K14" s="26"/>
      <c r="L14" s="30" t="s">
        <v>330</v>
      </c>
      <c r="M14" s="24" t="s">
        <v>323</v>
      </c>
    </row>
    <row r="15" spans="1:13" ht="26.1" customHeight="1">
      <c r="A15" s="21" t="s">
        <v>266</v>
      </c>
      <c r="B15" s="22" t="s">
        <v>269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32" t="s">
        <v>360</v>
      </c>
    </row>
    <row r="17" spans="1:13">
      <c r="A17" s="45" t="s">
        <v>336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</row>
  </sheetData>
  <sheetProtection sheet="1" objects="1" scenarios="1"/>
  <mergeCells count="1">
    <mergeCell ref="A17:M17"/>
  </mergeCells>
  <phoneticPr fontId="29" type="noConversion"/>
  <pageMargins left="0.4" right="0.4" top="0.5" bottom="0.5" header="0.5" footer="0.5"/>
  <pageSetup paperSize="9" fitToHeight="0" orientation="landscape"/>
  <headerFooter>
    <oddFooter>&amp;LSOLAS II-2 Reg.9 — T9.5&amp;R&amp;P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M17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6.5"/>
  <cols>
    <col min="1" max="1" width="6" customWidth="1"/>
    <col min="2" max="2" width="30" customWidth="1"/>
    <col min="3" max="13" width="13" customWidth="1"/>
  </cols>
  <sheetData>
    <row r="1" spans="1:13" ht="21.95" customHeight="1">
      <c r="A1" s="1" t="s">
        <v>361</v>
      </c>
    </row>
    <row r="2" spans="1:13">
      <c r="A2" s="2" t="s">
        <v>362</v>
      </c>
    </row>
    <row r="4" spans="1:13" ht="26.1" customHeight="1">
      <c r="A4" s="20" t="s">
        <v>241</v>
      </c>
      <c r="B4" s="20" t="s">
        <v>339</v>
      </c>
      <c r="C4" s="20" t="s">
        <v>242</v>
      </c>
      <c r="D4" s="20" t="s">
        <v>244</v>
      </c>
      <c r="E4" s="20" t="s">
        <v>246</v>
      </c>
      <c r="F4" s="20" t="s">
        <v>248</v>
      </c>
      <c r="G4" s="20" t="s">
        <v>250</v>
      </c>
      <c r="H4" s="20" t="s">
        <v>252</v>
      </c>
      <c r="I4" s="20" t="s">
        <v>255</v>
      </c>
      <c r="J4" s="20" t="s">
        <v>258</v>
      </c>
      <c r="K4" s="20" t="s">
        <v>261</v>
      </c>
      <c r="L4" s="20" t="s">
        <v>264</v>
      </c>
      <c r="M4" s="20" t="s">
        <v>266</v>
      </c>
    </row>
    <row r="5" spans="1:13" ht="26.1" customHeight="1">
      <c r="A5" s="21" t="s">
        <v>242</v>
      </c>
      <c r="B5" s="22" t="s">
        <v>243</v>
      </c>
      <c r="C5" s="24" t="s">
        <v>323</v>
      </c>
      <c r="D5" s="24" t="s">
        <v>323</v>
      </c>
      <c r="E5" s="24" t="s">
        <v>323</v>
      </c>
      <c r="F5" s="24" t="s">
        <v>323</v>
      </c>
      <c r="G5" s="24" t="s">
        <v>323</v>
      </c>
      <c r="H5" s="25" t="s">
        <v>324</v>
      </c>
      <c r="I5" s="24" t="s">
        <v>323</v>
      </c>
      <c r="J5" s="24" t="s">
        <v>323</v>
      </c>
      <c r="K5" s="24" t="s">
        <v>323</v>
      </c>
      <c r="L5" s="32" t="s">
        <v>344</v>
      </c>
      <c r="M5" s="25" t="s">
        <v>324</v>
      </c>
    </row>
    <row r="6" spans="1:13" ht="26.1" customHeight="1">
      <c r="A6" s="21" t="s">
        <v>244</v>
      </c>
      <c r="B6" s="22" t="s">
        <v>89</v>
      </c>
      <c r="C6" s="24" t="s">
        <v>323</v>
      </c>
      <c r="D6" s="32" t="s">
        <v>344</v>
      </c>
      <c r="E6" s="32" t="s">
        <v>344</v>
      </c>
      <c r="F6" s="24" t="s">
        <v>323</v>
      </c>
      <c r="G6" s="32" t="s">
        <v>344</v>
      </c>
      <c r="H6" s="25" t="s">
        <v>324</v>
      </c>
      <c r="I6" s="24" t="s">
        <v>323</v>
      </c>
      <c r="J6" s="24" t="s">
        <v>323</v>
      </c>
      <c r="K6" s="24" t="s">
        <v>323</v>
      </c>
      <c r="L6" s="32" t="s">
        <v>344</v>
      </c>
      <c r="M6" s="28" t="s">
        <v>328</v>
      </c>
    </row>
    <row r="7" spans="1:13" ht="26.1" customHeight="1">
      <c r="A7" s="21" t="s">
        <v>246</v>
      </c>
      <c r="B7" s="22" t="s">
        <v>247</v>
      </c>
      <c r="C7" s="25" t="s">
        <v>324</v>
      </c>
      <c r="D7" s="24" t="s">
        <v>323</v>
      </c>
      <c r="E7" s="32" t="s">
        <v>344</v>
      </c>
      <c r="F7" s="24" t="s">
        <v>323</v>
      </c>
      <c r="G7" s="32" t="s">
        <v>344</v>
      </c>
      <c r="H7" s="25" t="s">
        <v>324</v>
      </c>
      <c r="I7" s="24" t="s">
        <v>323</v>
      </c>
      <c r="J7" s="24" t="s">
        <v>323</v>
      </c>
      <c r="K7" s="24" t="s">
        <v>323</v>
      </c>
      <c r="L7" s="32" t="s">
        <v>344</v>
      </c>
      <c r="M7" s="28" t="s">
        <v>328</v>
      </c>
    </row>
    <row r="8" spans="1:13" ht="26.1" customHeight="1">
      <c r="A8" s="21" t="s">
        <v>248</v>
      </c>
      <c r="B8" s="22" t="s">
        <v>245</v>
      </c>
      <c r="C8" s="24" t="s">
        <v>323</v>
      </c>
      <c r="D8" s="24" t="s">
        <v>323</v>
      </c>
      <c r="E8" s="24" t="s">
        <v>323</v>
      </c>
      <c r="F8" s="32" t="s">
        <v>344</v>
      </c>
      <c r="G8" s="24" t="s">
        <v>323</v>
      </c>
      <c r="H8" s="25" t="s">
        <v>324</v>
      </c>
      <c r="I8" s="24" t="s">
        <v>323</v>
      </c>
      <c r="J8" s="24" t="s">
        <v>323</v>
      </c>
      <c r="K8" s="24" t="s">
        <v>323</v>
      </c>
      <c r="L8" s="32" t="s">
        <v>344</v>
      </c>
      <c r="M8" s="28" t="s">
        <v>328</v>
      </c>
    </row>
    <row r="9" spans="1:13" ht="26.1" customHeight="1">
      <c r="A9" s="21" t="s">
        <v>250</v>
      </c>
      <c r="B9" s="22" t="s">
        <v>251</v>
      </c>
      <c r="C9" s="27" t="s">
        <v>326</v>
      </c>
      <c r="D9" s="24" t="s">
        <v>323</v>
      </c>
      <c r="E9" s="24" t="s">
        <v>323</v>
      </c>
      <c r="F9" s="24" t="s">
        <v>323</v>
      </c>
      <c r="G9" s="32" t="s">
        <v>344</v>
      </c>
      <c r="H9" s="25" t="s">
        <v>324</v>
      </c>
      <c r="I9" s="24" t="s">
        <v>323</v>
      </c>
      <c r="J9" s="24" t="s">
        <v>323</v>
      </c>
      <c r="K9" s="24" t="s">
        <v>323</v>
      </c>
      <c r="L9" s="32" t="s">
        <v>344</v>
      </c>
      <c r="M9" s="24" t="s">
        <v>323</v>
      </c>
    </row>
    <row r="10" spans="1:13" ht="26.1" customHeight="1">
      <c r="A10" s="21" t="s">
        <v>252</v>
      </c>
      <c r="B10" s="22" t="s">
        <v>254</v>
      </c>
      <c r="C10" s="25" t="s">
        <v>324</v>
      </c>
      <c r="D10" s="25" t="s">
        <v>324</v>
      </c>
      <c r="E10" s="25" t="s">
        <v>324</v>
      </c>
      <c r="F10" s="25" t="s">
        <v>324</v>
      </c>
      <c r="G10" s="25" t="s">
        <v>324</v>
      </c>
      <c r="H10" s="32" t="s">
        <v>344</v>
      </c>
      <c r="I10" s="25" t="s">
        <v>363</v>
      </c>
      <c r="J10" s="28" t="s">
        <v>328</v>
      </c>
      <c r="K10" s="25" t="s">
        <v>324</v>
      </c>
      <c r="L10" s="32" t="s">
        <v>344</v>
      </c>
      <c r="M10" s="25" t="s">
        <v>324</v>
      </c>
    </row>
    <row r="11" spans="1:13" ht="26.1" customHeight="1">
      <c r="A11" s="21" t="s">
        <v>255</v>
      </c>
      <c r="B11" s="22" t="s">
        <v>257</v>
      </c>
      <c r="C11" s="27" t="s">
        <v>326</v>
      </c>
      <c r="D11" s="24" t="s">
        <v>323</v>
      </c>
      <c r="E11" s="24" t="s">
        <v>323</v>
      </c>
      <c r="F11" s="24" t="s">
        <v>323</v>
      </c>
      <c r="G11" s="24" t="s">
        <v>323</v>
      </c>
      <c r="H11" s="24" t="s">
        <v>323</v>
      </c>
      <c r="I11" s="32" t="s">
        <v>344</v>
      </c>
      <c r="J11" s="24" t="s">
        <v>323</v>
      </c>
      <c r="K11" s="24" t="s">
        <v>323</v>
      </c>
      <c r="L11" s="32" t="s">
        <v>344</v>
      </c>
      <c r="M11" s="24" t="s">
        <v>323</v>
      </c>
    </row>
    <row r="12" spans="1:13" ht="26.1" customHeight="1">
      <c r="A12" s="21" t="s">
        <v>258</v>
      </c>
      <c r="B12" s="22" t="s">
        <v>260</v>
      </c>
      <c r="C12" s="25" t="s">
        <v>324</v>
      </c>
      <c r="D12" s="24" t="s">
        <v>323</v>
      </c>
      <c r="E12" s="24" t="s">
        <v>323</v>
      </c>
      <c r="F12" s="24" t="s">
        <v>323</v>
      </c>
      <c r="G12" s="24" t="s">
        <v>323</v>
      </c>
      <c r="H12" s="24" t="s">
        <v>323</v>
      </c>
      <c r="I12" s="24" t="s">
        <v>323</v>
      </c>
      <c r="J12" s="32" t="s">
        <v>344</v>
      </c>
      <c r="K12" s="24" t="s">
        <v>323</v>
      </c>
      <c r="L12" s="32" t="s">
        <v>344</v>
      </c>
      <c r="M12" s="24" t="s">
        <v>323</v>
      </c>
    </row>
    <row r="13" spans="1:13" ht="26.1" customHeight="1">
      <c r="A13" s="21" t="s">
        <v>261</v>
      </c>
      <c r="B13" s="22" t="s">
        <v>263</v>
      </c>
      <c r="C13" s="25" t="s">
        <v>324</v>
      </c>
      <c r="D13" s="24" t="s">
        <v>323</v>
      </c>
      <c r="E13" s="24" t="s">
        <v>323</v>
      </c>
      <c r="F13" s="24" t="s">
        <v>323</v>
      </c>
      <c r="G13" s="24" t="s">
        <v>323</v>
      </c>
      <c r="H13" s="25" t="s">
        <v>324</v>
      </c>
      <c r="I13" s="24" t="s">
        <v>323</v>
      </c>
      <c r="J13" s="24" t="s">
        <v>323</v>
      </c>
      <c r="K13" s="24" t="s">
        <v>332</v>
      </c>
      <c r="L13" s="32" t="s">
        <v>344</v>
      </c>
      <c r="M13" s="28" t="s">
        <v>328</v>
      </c>
    </row>
    <row r="14" spans="1:13" ht="26.1" customHeight="1">
      <c r="A14" s="21" t="s">
        <v>264</v>
      </c>
      <c r="B14" s="22" t="s">
        <v>104</v>
      </c>
      <c r="C14" s="32" t="s">
        <v>344</v>
      </c>
      <c r="D14" s="32" t="s">
        <v>344</v>
      </c>
      <c r="E14" s="32" t="s">
        <v>344</v>
      </c>
      <c r="F14" s="32" t="s">
        <v>344</v>
      </c>
      <c r="G14" s="32" t="s">
        <v>344</v>
      </c>
      <c r="H14" s="32" t="s">
        <v>344</v>
      </c>
      <c r="I14" s="32" t="s">
        <v>344</v>
      </c>
      <c r="J14" s="32" t="s">
        <v>344</v>
      </c>
      <c r="K14" s="32" t="s">
        <v>344</v>
      </c>
      <c r="L14" s="30" t="s">
        <v>330</v>
      </c>
      <c r="M14" s="32" t="s">
        <v>344</v>
      </c>
    </row>
    <row r="15" spans="1:13" ht="26.1" customHeight="1">
      <c r="A15" s="21" t="s">
        <v>266</v>
      </c>
      <c r="B15" s="22" t="s">
        <v>269</v>
      </c>
      <c r="C15" s="25" t="s">
        <v>324</v>
      </c>
      <c r="D15" s="28" t="s">
        <v>328</v>
      </c>
      <c r="E15" s="28" t="s">
        <v>328</v>
      </c>
      <c r="F15" s="28" t="s">
        <v>328</v>
      </c>
      <c r="G15" s="24" t="s">
        <v>323</v>
      </c>
      <c r="H15" s="25" t="s">
        <v>324</v>
      </c>
      <c r="I15" s="24" t="s">
        <v>323</v>
      </c>
      <c r="J15" s="24" t="s">
        <v>323</v>
      </c>
      <c r="K15" s="28" t="s">
        <v>328</v>
      </c>
      <c r="L15" s="32" t="s">
        <v>344</v>
      </c>
      <c r="M15" s="32" t="s">
        <v>360</v>
      </c>
    </row>
    <row r="17" spans="1:13">
      <c r="A17" s="45" t="s">
        <v>341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</row>
  </sheetData>
  <sheetProtection sheet="1" objects="1" scenarios="1"/>
  <mergeCells count="1">
    <mergeCell ref="A17:M17"/>
  </mergeCells>
  <phoneticPr fontId="29" type="noConversion"/>
  <pageMargins left="0.4" right="0.4" top="0.5" bottom="0.5" header="0.5" footer="0.5"/>
  <pageSetup paperSize="9" fitToHeight="0" orientation="landscape"/>
  <headerFooter>
    <oddFooter>&amp;LSOLAS II-2 Reg.9 — T9.6&amp;R&amp;P /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L16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6.5"/>
  <cols>
    <col min="1" max="1" width="6" customWidth="1"/>
    <col min="2" max="2" width="30" customWidth="1"/>
    <col min="3" max="12" width="13" customWidth="1"/>
  </cols>
  <sheetData>
    <row r="1" spans="1:12" ht="21.95" customHeight="1">
      <c r="A1" s="1" t="s">
        <v>364</v>
      </c>
    </row>
    <row r="2" spans="1:12">
      <c r="A2" s="2" t="s">
        <v>365</v>
      </c>
    </row>
    <row r="4" spans="1:12" ht="26.1" customHeight="1">
      <c r="A4" s="20" t="s">
        <v>241</v>
      </c>
      <c r="B4" s="20" t="s">
        <v>321</v>
      </c>
      <c r="C4" s="20" t="s">
        <v>242</v>
      </c>
      <c r="D4" s="20" t="s">
        <v>244</v>
      </c>
      <c r="E4" s="20" t="s">
        <v>246</v>
      </c>
      <c r="F4" s="20" t="s">
        <v>248</v>
      </c>
      <c r="G4" s="20" t="s">
        <v>250</v>
      </c>
      <c r="H4" s="20" t="s">
        <v>252</v>
      </c>
      <c r="I4" s="20" t="s">
        <v>255</v>
      </c>
      <c r="J4" s="20" t="s">
        <v>258</v>
      </c>
      <c r="K4" s="20" t="s">
        <v>261</v>
      </c>
      <c r="L4" s="20" t="s">
        <v>264</v>
      </c>
    </row>
    <row r="5" spans="1:12" ht="26.1" customHeight="1">
      <c r="A5" s="21" t="s">
        <v>242</v>
      </c>
      <c r="B5" s="22" t="s">
        <v>243</v>
      </c>
      <c r="C5" s="24" t="s">
        <v>327</v>
      </c>
      <c r="D5" s="24" t="s">
        <v>323</v>
      </c>
      <c r="E5" s="25" t="s">
        <v>324</v>
      </c>
      <c r="F5" s="24" t="s">
        <v>323</v>
      </c>
      <c r="G5" s="27" t="s">
        <v>326</v>
      </c>
      <c r="H5" s="25" t="s">
        <v>324</v>
      </c>
      <c r="I5" s="27" t="s">
        <v>326</v>
      </c>
      <c r="J5" s="25" t="s">
        <v>324</v>
      </c>
      <c r="K5" s="25" t="s">
        <v>324</v>
      </c>
      <c r="L5" s="32" t="s">
        <v>344</v>
      </c>
    </row>
    <row r="6" spans="1:12" ht="26.1" customHeight="1">
      <c r="A6" s="21" t="s">
        <v>244</v>
      </c>
      <c r="B6" s="22" t="s">
        <v>89</v>
      </c>
      <c r="C6" s="26"/>
      <c r="D6" s="31" t="s">
        <v>335</v>
      </c>
      <c r="E6" s="23" t="s">
        <v>334</v>
      </c>
      <c r="F6" s="23" t="s">
        <v>366</v>
      </c>
      <c r="G6" s="23" t="s">
        <v>334</v>
      </c>
      <c r="H6" s="25" t="s">
        <v>324</v>
      </c>
      <c r="I6" s="24" t="s">
        <v>323</v>
      </c>
      <c r="J6" s="25" t="s">
        <v>324</v>
      </c>
      <c r="K6" s="24" t="s">
        <v>323</v>
      </c>
      <c r="L6" s="32" t="s">
        <v>344</v>
      </c>
    </row>
    <row r="7" spans="1:12" ht="26.1" customHeight="1">
      <c r="A7" s="21" t="s">
        <v>246</v>
      </c>
      <c r="B7" s="22" t="s">
        <v>247</v>
      </c>
      <c r="C7" s="26"/>
      <c r="D7" s="26"/>
      <c r="E7" s="31" t="s">
        <v>335</v>
      </c>
      <c r="F7" s="23" t="s">
        <v>366</v>
      </c>
      <c r="G7" s="23" t="s">
        <v>334</v>
      </c>
      <c r="H7" s="25" t="s">
        <v>324</v>
      </c>
      <c r="I7" s="24" t="s">
        <v>323</v>
      </c>
      <c r="J7" s="25" t="s">
        <v>324</v>
      </c>
      <c r="K7" s="24" t="s">
        <v>323</v>
      </c>
      <c r="L7" s="32" t="s">
        <v>344</v>
      </c>
    </row>
    <row r="8" spans="1:12" ht="26.1" customHeight="1">
      <c r="A8" s="21" t="s">
        <v>248</v>
      </c>
      <c r="B8" s="22" t="s">
        <v>245</v>
      </c>
      <c r="C8" s="26"/>
      <c r="D8" s="26"/>
      <c r="E8" s="26"/>
      <c r="F8" s="23" t="s">
        <v>366</v>
      </c>
      <c r="G8" s="23" t="s">
        <v>366</v>
      </c>
      <c r="H8" s="25" t="s">
        <v>324</v>
      </c>
      <c r="I8" s="24" t="s">
        <v>323</v>
      </c>
      <c r="J8" s="25" t="s">
        <v>324</v>
      </c>
      <c r="K8" s="24" t="s">
        <v>323</v>
      </c>
      <c r="L8" s="32" t="s">
        <v>344</v>
      </c>
    </row>
    <row r="9" spans="1:12" ht="26.1" customHeight="1">
      <c r="A9" s="21" t="s">
        <v>250</v>
      </c>
      <c r="B9" s="22" t="s">
        <v>251</v>
      </c>
      <c r="C9" s="26"/>
      <c r="D9" s="26"/>
      <c r="E9" s="26"/>
      <c r="F9" s="26"/>
      <c r="G9" s="31" t="s">
        <v>335</v>
      </c>
      <c r="H9" s="25" t="s">
        <v>324</v>
      </c>
      <c r="I9" s="24" t="s">
        <v>323</v>
      </c>
      <c r="J9" s="25" t="s">
        <v>324</v>
      </c>
      <c r="K9" s="24" t="s">
        <v>323</v>
      </c>
      <c r="L9" s="32" t="s">
        <v>344</v>
      </c>
    </row>
    <row r="10" spans="1:12" ht="26.1" customHeight="1">
      <c r="A10" s="21" t="s">
        <v>252</v>
      </c>
      <c r="B10" s="22" t="s">
        <v>254</v>
      </c>
      <c r="C10" s="26"/>
      <c r="D10" s="26"/>
      <c r="E10" s="26"/>
      <c r="F10" s="26"/>
      <c r="G10" s="26"/>
      <c r="H10" s="32" t="s">
        <v>344</v>
      </c>
      <c r="I10" s="24" t="s">
        <v>323</v>
      </c>
      <c r="J10" s="24" t="s">
        <v>332</v>
      </c>
      <c r="K10" s="25" t="s">
        <v>324</v>
      </c>
      <c r="L10" s="32" t="s">
        <v>344</v>
      </c>
    </row>
    <row r="11" spans="1:12" ht="26.1" customHeight="1">
      <c r="A11" s="21" t="s">
        <v>255</v>
      </c>
      <c r="B11" s="22" t="s">
        <v>257</v>
      </c>
      <c r="C11" s="26"/>
      <c r="D11" s="26"/>
      <c r="E11" s="26"/>
      <c r="F11" s="26"/>
      <c r="G11" s="26"/>
      <c r="H11" s="26"/>
      <c r="I11" s="24" t="s">
        <v>350</v>
      </c>
      <c r="J11" s="24" t="s">
        <v>323</v>
      </c>
      <c r="K11" s="24" t="s">
        <v>323</v>
      </c>
      <c r="L11" s="32" t="s">
        <v>344</v>
      </c>
    </row>
    <row r="12" spans="1:12" ht="26.1" customHeight="1">
      <c r="A12" s="21" t="s">
        <v>258</v>
      </c>
      <c r="B12" s="22" t="s">
        <v>208</v>
      </c>
      <c r="C12" s="26"/>
      <c r="D12" s="26"/>
      <c r="E12" s="26"/>
      <c r="F12" s="26"/>
      <c r="G12" s="26"/>
      <c r="H12" s="26"/>
      <c r="I12" s="26"/>
      <c r="J12" s="32" t="s">
        <v>344</v>
      </c>
      <c r="K12" s="25" t="s">
        <v>324</v>
      </c>
      <c r="L12" s="32" t="s">
        <v>344</v>
      </c>
    </row>
    <row r="13" spans="1:12" ht="26.1" customHeight="1">
      <c r="A13" s="21" t="s">
        <v>261</v>
      </c>
      <c r="B13" s="22" t="s">
        <v>263</v>
      </c>
      <c r="C13" s="26"/>
      <c r="D13" s="26"/>
      <c r="E13" s="26"/>
      <c r="F13" s="26"/>
      <c r="G13" s="26"/>
      <c r="H13" s="26"/>
      <c r="I13" s="26"/>
      <c r="J13" s="26"/>
      <c r="K13" s="24" t="s">
        <v>350</v>
      </c>
      <c r="L13" s="32" t="s">
        <v>344</v>
      </c>
    </row>
    <row r="14" spans="1:12" ht="26.1" customHeight="1">
      <c r="A14" s="21" t="s">
        <v>264</v>
      </c>
      <c r="B14" s="22" t="s">
        <v>104</v>
      </c>
      <c r="C14" s="26"/>
      <c r="D14" s="26"/>
      <c r="E14" s="26"/>
      <c r="F14" s="26"/>
      <c r="G14" s="26"/>
      <c r="H14" s="26"/>
      <c r="I14" s="26"/>
      <c r="J14" s="26"/>
      <c r="K14" s="26"/>
      <c r="L14" s="30" t="s">
        <v>330</v>
      </c>
    </row>
    <row r="16" spans="1:12">
      <c r="A16" s="45" t="s">
        <v>336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</row>
  </sheetData>
  <sheetProtection sheet="1" objects="1" scenarios="1"/>
  <mergeCells count="1">
    <mergeCell ref="A16:L16"/>
  </mergeCells>
  <phoneticPr fontId="29" type="noConversion"/>
  <pageMargins left="0.4" right="0.4" top="0.5" bottom="0.5" header="0.5" footer="0.5"/>
  <pageSetup paperSize="9" fitToHeight="0" orientation="landscape"/>
  <headerFooter>
    <oddFooter>&amp;LSOLAS II-2 Reg.9 — T9.7&amp;R&amp;P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L16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6.5"/>
  <cols>
    <col min="1" max="1" width="6" customWidth="1"/>
    <col min="2" max="2" width="30" customWidth="1"/>
    <col min="3" max="12" width="13" customWidth="1"/>
  </cols>
  <sheetData>
    <row r="1" spans="1:12" ht="21.95" customHeight="1">
      <c r="A1" s="1" t="s">
        <v>367</v>
      </c>
    </row>
    <row r="2" spans="1:12">
      <c r="A2" s="2" t="s">
        <v>368</v>
      </c>
    </row>
    <row r="4" spans="1:12" ht="26.1" customHeight="1">
      <c r="A4" s="20" t="s">
        <v>241</v>
      </c>
      <c r="B4" s="20" t="s">
        <v>339</v>
      </c>
      <c r="C4" s="20" t="s">
        <v>242</v>
      </c>
      <c r="D4" s="20" t="s">
        <v>244</v>
      </c>
      <c r="E4" s="20" t="s">
        <v>246</v>
      </c>
      <c r="F4" s="20" t="s">
        <v>248</v>
      </c>
      <c r="G4" s="20" t="s">
        <v>250</v>
      </c>
      <c r="H4" s="20" t="s">
        <v>252</v>
      </c>
      <c r="I4" s="20" t="s">
        <v>255</v>
      </c>
      <c r="J4" s="20" t="s">
        <v>258</v>
      </c>
      <c r="K4" s="20" t="s">
        <v>261</v>
      </c>
      <c r="L4" s="20" t="s">
        <v>264</v>
      </c>
    </row>
    <row r="5" spans="1:12" ht="26.1" customHeight="1">
      <c r="A5" s="21" t="s">
        <v>242</v>
      </c>
      <c r="B5" s="22" t="s">
        <v>243</v>
      </c>
      <c r="C5" s="24" t="s">
        <v>323</v>
      </c>
      <c r="D5" s="24" t="s">
        <v>323</v>
      </c>
      <c r="E5" s="24" t="s">
        <v>323</v>
      </c>
      <c r="F5" s="24" t="s">
        <v>323</v>
      </c>
      <c r="G5" s="24" t="s">
        <v>323</v>
      </c>
      <c r="H5" s="25" t="s">
        <v>324</v>
      </c>
      <c r="I5" s="24" t="s">
        <v>323</v>
      </c>
      <c r="J5" s="30" t="s">
        <v>330</v>
      </c>
      <c r="K5" s="24" t="s">
        <v>323</v>
      </c>
      <c r="L5" s="32" t="s">
        <v>344</v>
      </c>
    </row>
    <row r="6" spans="1:12" ht="26.1" customHeight="1">
      <c r="A6" s="21" t="s">
        <v>244</v>
      </c>
      <c r="B6" s="22" t="s">
        <v>89</v>
      </c>
      <c r="C6" s="24" t="s">
        <v>323</v>
      </c>
      <c r="D6" s="32" t="s">
        <v>344</v>
      </c>
      <c r="E6" s="32" t="s">
        <v>344</v>
      </c>
      <c r="F6" s="24" t="s">
        <v>323</v>
      </c>
      <c r="G6" s="32" t="s">
        <v>344</v>
      </c>
      <c r="H6" s="25" t="s">
        <v>324</v>
      </c>
      <c r="I6" s="24" t="s">
        <v>323</v>
      </c>
      <c r="J6" s="30" t="s">
        <v>330</v>
      </c>
      <c r="K6" s="24" t="s">
        <v>323</v>
      </c>
      <c r="L6" s="32" t="s">
        <v>344</v>
      </c>
    </row>
    <row r="7" spans="1:12" ht="26.1" customHeight="1">
      <c r="A7" s="21" t="s">
        <v>246</v>
      </c>
      <c r="B7" s="22" t="s">
        <v>247</v>
      </c>
      <c r="C7" s="25" t="s">
        <v>324</v>
      </c>
      <c r="D7" s="24" t="s">
        <v>323</v>
      </c>
      <c r="E7" s="32" t="s">
        <v>344</v>
      </c>
      <c r="F7" s="24" t="s">
        <v>323</v>
      </c>
      <c r="G7" s="32" t="s">
        <v>344</v>
      </c>
      <c r="H7" s="25" t="s">
        <v>324</v>
      </c>
      <c r="I7" s="24" t="s">
        <v>323</v>
      </c>
      <c r="J7" s="30" t="s">
        <v>330</v>
      </c>
      <c r="K7" s="24" t="s">
        <v>323</v>
      </c>
      <c r="L7" s="32" t="s">
        <v>344</v>
      </c>
    </row>
    <row r="8" spans="1:12" ht="26.1" customHeight="1">
      <c r="A8" s="21" t="s">
        <v>248</v>
      </c>
      <c r="B8" s="22" t="s">
        <v>245</v>
      </c>
      <c r="C8" s="24" t="s">
        <v>323</v>
      </c>
      <c r="D8" s="24" t="s">
        <v>323</v>
      </c>
      <c r="E8" s="24" t="s">
        <v>323</v>
      </c>
      <c r="F8" s="32" t="s">
        <v>344</v>
      </c>
      <c r="G8" s="24" t="s">
        <v>323</v>
      </c>
      <c r="H8" s="25" t="s">
        <v>324</v>
      </c>
      <c r="I8" s="24" t="s">
        <v>323</v>
      </c>
      <c r="J8" s="30" t="s">
        <v>330</v>
      </c>
      <c r="K8" s="24" t="s">
        <v>323</v>
      </c>
      <c r="L8" s="32" t="s">
        <v>344</v>
      </c>
    </row>
    <row r="9" spans="1:12" ht="26.1" customHeight="1">
      <c r="A9" s="21" t="s">
        <v>250</v>
      </c>
      <c r="B9" s="22" t="s">
        <v>251</v>
      </c>
      <c r="C9" s="27" t="s">
        <v>326</v>
      </c>
      <c r="D9" s="24" t="s">
        <v>323</v>
      </c>
      <c r="E9" s="24" t="s">
        <v>323</v>
      </c>
      <c r="F9" s="24" t="s">
        <v>323</v>
      </c>
      <c r="G9" s="32" t="s">
        <v>344</v>
      </c>
      <c r="H9" s="25" t="s">
        <v>324</v>
      </c>
      <c r="I9" s="24" t="s">
        <v>323</v>
      </c>
      <c r="J9" s="30" t="s">
        <v>330</v>
      </c>
      <c r="K9" s="24" t="s">
        <v>323</v>
      </c>
      <c r="L9" s="32" t="s">
        <v>344</v>
      </c>
    </row>
    <row r="10" spans="1:12" ht="26.1" customHeight="1">
      <c r="A10" s="21" t="s">
        <v>252</v>
      </c>
      <c r="B10" s="22" t="s">
        <v>254</v>
      </c>
      <c r="C10" s="25" t="s">
        <v>324</v>
      </c>
      <c r="D10" s="25" t="s">
        <v>324</v>
      </c>
      <c r="E10" s="25" t="s">
        <v>324</v>
      </c>
      <c r="F10" s="25" t="s">
        <v>324</v>
      </c>
      <c r="G10" s="25" t="s">
        <v>324</v>
      </c>
      <c r="H10" s="32" t="s">
        <v>344</v>
      </c>
      <c r="I10" s="25" t="s">
        <v>369</v>
      </c>
      <c r="J10" s="24" t="s">
        <v>323</v>
      </c>
      <c r="K10" s="25" t="s">
        <v>324</v>
      </c>
      <c r="L10" s="32" t="s">
        <v>344</v>
      </c>
    </row>
    <row r="11" spans="1:12" ht="26.1" customHeight="1">
      <c r="A11" s="21" t="s">
        <v>255</v>
      </c>
      <c r="B11" s="22" t="s">
        <v>257</v>
      </c>
      <c r="C11" s="27" t="s">
        <v>326</v>
      </c>
      <c r="D11" s="24" t="s">
        <v>323</v>
      </c>
      <c r="E11" s="24" t="s">
        <v>323</v>
      </c>
      <c r="F11" s="24" t="s">
        <v>323</v>
      </c>
      <c r="G11" s="24" t="s">
        <v>323</v>
      </c>
      <c r="H11" s="24" t="s">
        <v>323</v>
      </c>
      <c r="I11" s="32" t="s">
        <v>344</v>
      </c>
      <c r="J11" s="24" t="s">
        <v>323</v>
      </c>
      <c r="K11" s="24" t="s">
        <v>323</v>
      </c>
      <c r="L11" s="32" t="s">
        <v>344</v>
      </c>
    </row>
    <row r="12" spans="1:12" ht="26.1" customHeight="1">
      <c r="A12" s="21" t="s">
        <v>258</v>
      </c>
      <c r="B12" s="22" t="s">
        <v>208</v>
      </c>
      <c r="C12" s="30" t="s">
        <v>330</v>
      </c>
      <c r="D12" s="30" t="s">
        <v>330</v>
      </c>
      <c r="E12" s="30" t="s">
        <v>330</v>
      </c>
      <c r="F12" s="30" t="s">
        <v>330</v>
      </c>
      <c r="G12" s="30" t="s">
        <v>330</v>
      </c>
      <c r="H12" s="24" t="s">
        <v>332</v>
      </c>
      <c r="I12" s="24" t="s">
        <v>323</v>
      </c>
      <c r="J12" s="32" t="s">
        <v>344</v>
      </c>
      <c r="K12" s="30" t="s">
        <v>330</v>
      </c>
      <c r="L12" s="32" t="s">
        <v>344</v>
      </c>
    </row>
    <row r="13" spans="1:12" ht="26.1" customHeight="1">
      <c r="A13" s="21" t="s">
        <v>261</v>
      </c>
      <c r="B13" s="22" t="s">
        <v>263</v>
      </c>
      <c r="C13" s="25" t="s">
        <v>324</v>
      </c>
      <c r="D13" s="24" t="s">
        <v>323</v>
      </c>
      <c r="E13" s="24" t="s">
        <v>323</v>
      </c>
      <c r="F13" s="24" t="s">
        <v>323</v>
      </c>
      <c r="G13" s="24" t="s">
        <v>323</v>
      </c>
      <c r="H13" s="25" t="s">
        <v>324</v>
      </c>
      <c r="I13" s="24" t="s">
        <v>323</v>
      </c>
      <c r="J13" s="30" t="s">
        <v>330</v>
      </c>
      <c r="K13" s="24" t="s">
        <v>350</v>
      </c>
      <c r="L13" s="32" t="s">
        <v>344</v>
      </c>
    </row>
    <row r="14" spans="1:12" ht="26.1" customHeight="1">
      <c r="A14" s="21" t="s">
        <v>264</v>
      </c>
      <c r="B14" s="22" t="s">
        <v>104</v>
      </c>
      <c r="C14" s="32" t="s">
        <v>344</v>
      </c>
      <c r="D14" s="32" t="s">
        <v>344</v>
      </c>
      <c r="E14" s="32" t="s">
        <v>344</v>
      </c>
      <c r="F14" s="32" t="s">
        <v>344</v>
      </c>
      <c r="G14" s="32" t="s">
        <v>344</v>
      </c>
      <c r="H14" s="32" t="s">
        <v>344</v>
      </c>
      <c r="I14" s="32" t="s">
        <v>344</v>
      </c>
      <c r="J14" s="32" t="s">
        <v>344</v>
      </c>
      <c r="K14" s="32" t="s">
        <v>344</v>
      </c>
      <c r="L14" s="30" t="s">
        <v>330</v>
      </c>
    </row>
    <row r="16" spans="1:12">
      <c r="A16" s="45" t="s">
        <v>341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</row>
  </sheetData>
  <sheetProtection sheet="1" objects="1" scenarios="1"/>
  <mergeCells count="1">
    <mergeCell ref="A16:L16"/>
  </mergeCells>
  <phoneticPr fontId="29" type="noConversion"/>
  <pageMargins left="0.4" right="0.4" top="0.5" bottom="0.5" header="0.5" footer="0.5"/>
  <pageSetup paperSize="9" fitToHeight="0" orientation="landscape"/>
  <headerFooter>
    <oddFooter>&amp;LSOLAS II-2 Reg.9 — T9.8&amp;R&amp;P /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B38"/>
  <sheetViews>
    <sheetView showGridLines="0" workbookViewId="0"/>
  </sheetViews>
  <sheetFormatPr defaultRowHeight="16.5"/>
  <cols>
    <col min="1" max="1" width="7" customWidth="1"/>
    <col min="2" max="2" width="132" customWidth="1"/>
  </cols>
  <sheetData>
    <row r="1" spans="1:2" ht="21.95" customHeight="1">
      <c r="A1" s="1" t="s">
        <v>370</v>
      </c>
    </row>
    <row r="2" spans="1:2">
      <c r="A2" s="2" t="s">
        <v>371</v>
      </c>
    </row>
    <row r="4" spans="1:2">
      <c r="A4" s="38" t="s">
        <v>372</v>
      </c>
      <c r="B4" s="39"/>
    </row>
    <row r="5" spans="1:2" ht="39.950000000000003" customHeight="1">
      <c r="A5" s="33" t="s">
        <v>373</v>
      </c>
      <c r="B5" s="34" t="s">
        <v>374</v>
      </c>
    </row>
    <row r="6" spans="1:2" ht="39.950000000000003" customHeight="1">
      <c r="A6" s="33" t="s">
        <v>375</v>
      </c>
      <c r="B6" s="34" t="s">
        <v>376</v>
      </c>
    </row>
    <row r="7" spans="1:2" ht="39.950000000000003" customHeight="1">
      <c r="A7" s="33" t="s">
        <v>377</v>
      </c>
      <c r="B7" s="34" t="s">
        <v>378</v>
      </c>
    </row>
    <row r="8" spans="1:2" ht="39.950000000000003" customHeight="1">
      <c r="A8" s="33" t="s">
        <v>379</v>
      </c>
      <c r="B8" s="34" t="s">
        <v>380</v>
      </c>
    </row>
    <row r="9" spans="1:2" ht="39.950000000000003" customHeight="1">
      <c r="A9" s="33" t="s">
        <v>344</v>
      </c>
      <c r="B9" s="34" t="s">
        <v>381</v>
      </c>
    </row>
    <row r="11" spans="1:2">
      <c r="A11" s="38" t="s">
        <v>382</v>
      </c>
      <c r="B11" s="39"/>
    </row>
    <row r="12" spans="1:2" ht="39.950000000000003" customHeight="1">
      <c r="A12" s="33" t="s">
        <v>373</v>
      </c>
      <c r="B12" s="34" t="s">
        <v>383</v>
      </c>
    </row>
    <row r="13" spans="1:2" ht="39.950000000000003" customHeight="1">
      <c r="A13" s="33" t="s">
        <v>375</v>
      </c>
      <c r="B13" s="34" t="s">
        <v>384</v>
      </c>
    </row>
    <row r="14" spans="1:2" ht="39.950000000000003" customHeight="1">
      <c r="A14" s="33" t="s">
        <v>377</v>
      </c>
      <c r="B14" s="34" t="s">
        <v>385</v>
      </c>
    </row>
    <row r="15" spans="1:2" ht="39.950000000000003" customHeight="1">
      <c r="A15" s="33" t="s">
        <v>379</v>
      </c>
      <c r="B15" s="34" t="s">
        <v>386</v>
      </c>
    </row>
    <row r="16" spans="1:2" ht="39.950000000000003" customHeight="1">
      <c r="A16" s="33" t="s">
        <v>387</v>
      </c>
      <c r="B16" s="34" t="s">
        <v>388</v>
      </c>
    </row>
    <row r="17" spans="1:2" ht="39.950000000000003" customHeight="1">
      <c r="A17" s="33" t="s">
        <v>389</v>
      </c>
      <c r="B17" s="34" t="s">
        <v>390</v>
      </c>
    </row>
    <row r="18" spans="1:2" ht="39.950000000000003" customHeight="1">
      <c r="A18" s="33" t="s">
        <v>344</v>
      </c>
      <c r="B18" s="34" t="s">
        <v>391</v>
      </c>
    </row>
    <row r="20" spans="1:2">
      <c r="A20" s="38" t="s">
        <v>392</v>
      </c>
      <c r="B20" s="39"/>
    </row>
    <row r="21" spans="1:2" ht="39.950000000000003" customHeight="1">
      <c r="A21" s="33" t="s">
        <v>373</v>
      </c>
      <c r="B21" s="34" t="s">
        <v>393</v>
      </c>
    </row>
    <row r="22" spans="1:2" ht="39.950000000000003" customHeight="1">
      <c r="A22" s="33" t="s">
        <v>375</v>
      </c>
      <c r="B22" s="34" t="s">
        <v>394</v>
      </c>
    </row>
    <row r="23" spans="1:2" ht="39.950000000000003" customHeight="1">
      <c r="A23" s="33" t="s">
        <v>377</v>
      </c>
      <c r="B23" s="34" t="s">
        <v>395</v>
      </c>
    </row>
    <row r="24" spans="1:2" ht="39.950000000000003" customHeight="1">
      <c r="A24" s="33" t="s">
        <v>379</v>
      </c>
      <c r="B24" s="34" t="s">
        <v>396</v>
      </c>
    </row>
    <row r="25" spans="1:2" ht="39.950000000000003" customHeight="1">
      <c r="A25" s="33" t="s">
        <v>387</v>
      </c>
      <c r="B25" s="34" t="s">
        <v>397</v>
      </c>
    </row>
    <row r="26" spans="1:2" ht="39.950000000000003" customHeight="1">
      <c r="A26" s="33" t="s">
        <v>389</v>
      </c>
      <c r="B26" s="34" t="s">
        <v>398</v>
      </c>
    </row>
    <row r="27" spans="1:2" ht="39.950000000000003" customHeight="1">
      <c r="A27" s="33" t="s">
        <v>399</v>
      </c>
      <c r="B27" s="34" t="s">
        <v>400</v>
      </c>
    </row>
    <row r="28" spans="1:2" ht="39.950000000000003" customHeight="1">
      <c r="A28" s="33" t="s">
        <v>401</v>
      </c>
      <c r="B28" s="34" t="s">
        <v>402</v>
      </c>
    </row>
    <row r="29" spans="1:2" ht="39.950000000000003" customHeight="1">
      <c r="A29" s="33" t="s">
        <v>403</v>
      </c>
      <c r="B29" s="34" t="s">
        <v>390</v>
      </c>
    </row>
    <row r="30" spans="1:2" ht="39.950000000000003" customHeight="1">
      <c r="A30" s="33" t="s">
        <v>344</v>
      </c>
      <c r="B30" s="34" t="s">
        <v>404</v>
      </c>
    </row>
    <row r="32" spans="1:2">
      <c r="A32" s="38" t="s">
        <v>405</v>
      </c>
      <c r="B32" s="39"/>
    </row>
    <row r="33" spans="1:2" ht="39.950000000000003" customHeight="1">
      <c r="A33" s="33" t="s">
        <v>373</v>
      </c>
      <c r="B33" s="34" t="s">
        <v>395</v>
      </c>
    </row>
    <row r="34" spans="1:2" ht="39.950000000000003" customHeight="1">
      <c r="A34" s="33" t="s">
        <v>375</v>
      </c>
      <c r="B34" s="34" t="s">
        <v>406</v>
      </c>
    </row>
    <row r="35" spans="1:2" ht="39.950000000000003" customHeight="1">
      <c r="A35" s="33" t="s">
        <v>377</v>
      </c>
      <c r="B35" s="34" t="s">
        <v>397</v>
      </c>
    </row>
    <row r="36" spans="1:2" ht="39.950000000000003" customHeight="1">
      <c r="A36" s="33" t="s">
        <v>379</v>
      </c>
      <c r="B36" s="34" t="s">
        <v>407</v>
      </c>
    </row>
    <row r="37" spans="1:2" ht="39.950000000000003" customHeight="1">
      <c r="A37" s="33" t="s">
        <v>387</v>
      </c>
      <c r="B37" s="34" t="s">
        <v>390</v>
      </c>
    </row>
    <row r="38" spans="1:2" ht="39.950000000000003" customHeight="1">
      <c r="A38" s="33" t="s">
        <v>344</v>
      </c>
      <c r="B38" s="34" t="s">
        <v>404</v>
      </c>
    </row>
  </sheetData>
  <mergeCells count="4">
    <mergeCell ref="A4:B4"/>
    <mergeCell ref="A32:B32"/>
    <mergeCell ref="A20:B20"/>
    <mergeCell ref="A11:B11"/>
  </mergeCells>
  <phoneticPr fontId="29" type="noConversion"/>
  <pageMargins left="0.4" right="0.4" top="0.5" bottom="0.5" header="0.5" footer="0.5"/>
  <pageSetup paperSize="9" fitToHeight="0" orientation="portrait"/>
  <headerFooter>
    <oddFooter>&amp;LSOLAS II-2 Reg.9 — 04_주석&amp;R&amp;P /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2"/>
  <sheetViews>
    <sheetView showGridLines="0" workbookViewId="0"/>
  </sheetViews>
  <sheetFormatPr defaultRowHeight="16.5"/>
  <cols>
    <col min="1" max="1" width="24" customWidth="1"/>
    <col min="2" max="3" width="12" customWidth="1"/>
    <col min="4" max="4" width="10" customWidth="1"/>
    <col min="5" max="5" width="3" customWidth="1"/>
    <col min="6" max="6" width="22" customWidth="1"/>
    <col min="7" max="7" width="3" customWidth="1"/>
    <col min="8" max="8" width="16" customWidth="1"/>
    <col min="9" max="9" width="3" customWidth="1"/>
    <col min="10" max="10" width="10" customWidth="1"/>
    <col min="11" max="11" width="66" customWidth="1"/>
  </cols>
  <sheetData>
    <row r="1" spans="1:11" ht="21.95" customHeight="1">
      <c r="A1" s="1" t="s">
        <v>408</v>
      </c>
    </row>
    <row r="2" spans="1:11">
      <c r="A2" s="2" t="s">
        <v>409</v>
      </c>
    </row>
    <row r="3" spans="1:11">
      <c r="A3" s="35" t="s">
        <v>281</v>
      </c>
      <c r="B3" s="35" t="s">
        <v>410</v>
      </c>
      <c r="C3" s="35" t="s">
        <v>411</v>
      </c>
      <c r="D3" s="35" t="s">
        <v>412</v>
      </c>
      <c r="F3" s="35" t="s">
        <v>284</v>
      </c>
      <c r="H3" s="35" t="s">
        <v>413</v>
      </c>
      <c r="J3" s="35" t="s">
        <v>414</v>
      </c>
      <c r="K3" s="35" t="s">
        <v>415</v>
      </c>
    </row>
    <row r="4" spans="1:11">
      <c r="A4" s="36" t="s">
        <v>16</v>
      </c>
      <c r="B4" s="36" t="s">
        <v>416</v>
      </c>
      <c r="C4" s="36" t="s">
        <v>417</v>
      </c>
      <c r="D4" s="36">
        <v>14</v>
      </c>
      <c r="F4" s="36" t="s">
        <v>285</v>
      </c>
      <c r="H4" s="36" t="s">
        <v>294</v>
      </c>
      <c r="J4" s="37" t="s">
        <v>324</v>
      </c>
      <c r="K4" s="36" t="s">
        <v>418</v>
      </c>
    </row>
    <row r="5" spans="1:11">
      <c r="A5" s="36" t="s">
        <v>18</v>
      </c>
      <c r="B5" s="36" t="s">
        <v>419</v>
      </c>
      <c r="C5" s="36" t="s">
        <v>420</v>
      </c>
      <c r="D5" s="36">
        <v>11</v>
      </c>
      <c r="F5" s="36" t="s">
        <v>421</v>
      </c>
      <c r="H5" s="36" t="s">
        <v>422</v>
      </c>
      <c r="J5" s="37" t="s">
        <v>328</v>
      </c>
      <c r="K5" s="36" t="s">
        <v>423</v>
      </c>
    </row>
    <row r="6" spans="1:11">
      <c r="A6" s="36" t="s">
        <v>20</v>
      </c>
      <c r="B6" s="36" t="s">
        <v>424</v>
      </c>
      <c r="C6" s="36" t="s">
        <v>425</v>
      </c>
      <c r="D6" s="36">
        <v>11</v>
      </c>
      <c r="J6" s="37" t="s">
        <v>326</v>
      </c>
      <c r="K6" s="36" t="s">
        <v>426</v>
      </c>
    </row>
    <row r="7" spans="1:11">
      <c r="A7" s="36" t="s">
        <v>22</v>
      </c>
      <c r="B7" s="36" t="s">
        <v>427</v>
      </c>
      <c r="C7" s="36" t="s">
        <v>428</v>
      </c>
      <c r="D7" s="36">
        <v>10</v>
      </c>
      <c r="J7" s="37" t="s">
        <v>323</v>
      </c>
      <c r="K7" s="36" t="s">
        <v>429</v>
      </c>
    </row>
    <row r="8" spans="1:11">
      <c r="J8" s="37" t="s">
        <v>329</v>
      </c>
      <c r="K8" s="36" t="s">
        <v>430</v>
      </c>
    </row>
    <row r="9" spans="1:11">
      <c r="J9" s="37" t="s">
        <v>334</v>
      </c>
      <c r="K9" s="36" t="s">
        <v>431</v>
      </c>
    </row>
    <row r="10" spans="1:11">
      <c r="J10" s="37" t="s">
        <v>335</v>
      </c>
      <c r="K10" s="36" t="s">
        <v>432</v>
      </c>
    </row>
    <row r="11" spans="1:11">
      <c r="J11" s="37" t="s">
        <v>344</v>
      </c>
      <c r="K11" s="36" t="s">
        <v>433</v>
      </c>
    </row>
    <row r="12" spans="1:11">
      <c r="J12" s="37" t="s">
        <v>330</v>
      </c>
      <c r="K12" s="36" t="s">
        <v>36</v>
      </c>
    </row>
  </sheetData>
  <sheetProtection sheet="1" objects="1" scenarios="1"/>
  <phoneticPr fontId="2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 지정된 범위</vt:lpstr>
      </vt:variant>
      <vt:variant>
        <vt:i4>11</vt:i4>
      </vt:variant>
    </vt:vector>
  </HeadingPairs>
  <TitlesOfParts>
    <vt:vector size="25" baseType="lpstr">
      <vt:lpstr>00_안내</vt:lpstr>
      <vt:lpstr>01_격실분류</vt:lpstr>
      <vt:lpstr>02_범주정의</vt:lpstr>
      <vt:lpstr>03_조회</vt:lpstr>
      <vt:lpstr>T9.1</vt:lpstr>
      <vt:lpstr>T9.2</vt:lpstr>
      <vt:lpstr>T9.3</vt:lpstr>
      <vt:lpstr>T9.4</vt:lpstr>
      <vt:lpstr>T9.5</vt:lpstr>
      <vt:lpstr>T9.6</vt:lpstr>
      <vt:lpstr>T9.7</vt:lpstr>
      <vt:lpstr>T9.8</vt:lpstr>
      <vt:lpstr>04_주석</vt:lpstr>
      <vt:lpstr>05_참조</vt:lpstr>
      <vt:lpstr>'01_격실분류'!Print_Titles</vt:lpstr>
      <vt:lpstr>'02_범주정의'!Print_Titles</vt:lpstr>
      <vt:lpstr>'04_주석'!Print_Titles</vt:lpstr>
      <vt:lpstr>T9.1!Print_Titles</vt:lpstr>
      <vt:lpstr>T9.2!Print_Titles</vt:lpstr>
      <vt:lpstr>T9.3!Print_Titles</vt:lpstr>
      <vt:lpstr>T9.4!Print_Titles</vt:lpstr>
      <vt:lpstr>T9.5!Print_Titles</vt:lpstr>
      <vt:lpstr>T9.6!Print_Titles</vt:lpstr>
      <vt:lpstr>T9.7!Print_Titles</vt:lpstr>
      <vt:lpstr>T9.8!Print_Titles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형권 박</cp:lastModifiedBy>
  <dcterms:created xsi:type="dcterms:W3CDTF">2026-08-24T12:36:00Z</dcterms:created>
  <dcterms:modified xsi:type="dcterms:W3CDTF">2026-08-24T12:37:57Z</dcterms:modified>
</cp:coreProperties>
</file>